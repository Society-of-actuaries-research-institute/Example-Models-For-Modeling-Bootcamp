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iki\MBC_Production_Model_Example\inputs\"/>
    </mc:Choice>
  </mc:AlternateContent>
  <xr:revisionPtr revIDLastSave="0" documentId="13_ncr:1_{D25A87B4-37FD-4E67-ABF6-DDDA4324E0C0}" xr6:coauthVersionLast="47" xr6:coauthVersionMax="47" xr10:uidLastSave="{00000000-0000-0000-0000-000000000000}"/>
  <bookViews>
    <workbookView xWindow="-105" yWindow="0" windowWidth="26010" windowHeight="20985" activeTab="2" xr2:uid="{9421D230-C2F9-CE48-9929-8235616746DE}"/>
  </bookViews>
  <sheets>
    <sheet name="Inforce" sheetId="12" r:id="rId1"/>
    <sheet name="Parameters" sheetId="11" r:id="rId2"/>
    <sheet name="Reporting" sheetId="13" r:id="rId3"/>
    <sheet name="Policy Results" sheetId="4" r:id="rId4"/>
    <sheet name="Scenario Results" sheetId="5" r:id="rId5"/>
    <sheet name="Total Results" sheetId="8" r:id="rId6"/>
    <sheet name="Dashboard Results" sheetId="9" r:id="rId7"/>
  </sheets>
  <definedNames>
    <definedName name="_xleta.IF" hidden="1" xlm="1">#NAME?</definedName>
    <definedName name="_xleta.RATE" hidden="1" xlm="1">#NAME?</definedName>
    <definedName name="Discount_Rate">'Dashboard Results'!$M$4</definedName>
    <definedName name="Number_of_Contracts">'Dashboard Results'!$M$3</definedName>
    <definedName name="Number_of_Scenarios">'Dashboard Results'!$M$2</definedName>
    <definedName name="Policy_Number">'Policy Results'!$B$1</definedName>
    <definedName name="Scenario_Number">'Policy Results'!$E$1</definedName>
    <definedName name="Valuation_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" i="11" l="1"/>
  <c r="C258" i="11" s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</calcChain>
</file>

<file path=xl/sharedStrings.xml><?xml version="1.0" encoding="utf-8"?>
<sst xmlns="http://schemas.openxmlformats.org/spreadsheetml/2006/main" count="151" uniqueCount="111">
  <si>
    <t>Projection Scale</t>
  </si>
  <si>
    <t>0.4</t>
  </si>
  <si>
    <t>Male</t>
  </si>
  <si>
    <t>Female</t>
  </si>
  <si>
    <t>0.008475</t>
  </si>
  <si>
    <t>0.009234</t>
  </si>
  <si>
    <t>0.010083</t>
  </si>
  <si>
    <t>0.011011</t>
  </si>
  <si>
    <t>0.01203</t>
  </si>
  <si>
    <t>0.013154</t>
  </si>
  <si>
    <t>0.014415</t>
  </si>
  <si>
    <t>0.015869</t>
  </si>
  <si>
    <t>0.017555</t>
  </si>
  <si>
    <t>0.0195</t>
  </si>
  <si>
    <t>0.021758</t>
  </si>
  <si>
    <t>0.024412</t>
  </si>
  <si>
    <t>0.027579</t>
  </si>
  <si>
    <t>0.031501</t>
  </si>
  <si>
    <t>0.036122</t>
  </si>
  <si>
    <t>0.041477</t>
  </si>
  <si>
    <t>0.047589</t>
  </si>
  <si>
    <t>0.054441</t>
  </si>
  <si>
    <t>0.061972</t>
  </si>
  <si>
    <t>0.070155</t>
  </si>
  <si>
    <t>0.078963</t>
  </si>
  <si>
    <t>0.088336</t>
  </si>
  <si>
    <t>0.098197</t>
  </si>
  <si>
    <t>0.108323</t>
  </si>
  <si>
    <t>0.119188</t>
  </si>
  <si>
    <t>0.131334</t>
  </si>
  <si>
    <t>0.145521</t>
  </si>
  <si>
    <t>0.162722</t>
  </si>
  <si>
    <t>0.18212</t>
  </si>
  <si>
    <t>0.199661</t>
  </si>
  <si>
    <t>0.217946</t>
  </si>
  <si>
    <t>0.236834</t>
  </si>
  <si>
    <t>0.256357</t>
  </si>
  <si>
    <t>0.283802</t>
  </si>
  <si>
    <t>0.304716</t>
  </si>
  <si>
    <t>0.325819</t>
  </si>
  <si>
    <t>0.346936</t>
  </si>
  <si>
    <t>0.367898</t>
  </si>
  <si>
    <t>0.387607</t>
  </si>
  <si>
    <t>Valuation Date</t>
  </si>
  <si>
    <t>Mortality Rates</t>
  </si>
  <si>
    <t>Gender</t>
  </si>
  <si>
    <t>M</t>
  </si>
  <si>
    <t>F</t>
  </si>
  <si>
    <t>Annual Benefit</t>
  </si>
  <si>
    <t>Policy</t>
  </si>
  <si>
    <t>Year</t>
  </si>
  <si>
    <t>Base Qx</t>
  </si>
  <si>
    <t>Improvement</t>
  </si>
  <si>
    <t>Improved Qx</t>
  </si>
  <si>
    <t>Px</t>
  </si>
  <si>
    <t>tPx</t>
  </si>
  <si>
    <t>Benefit</t>
  </si>
  <si>
    <t>Total Cash Flow</t>
  </si>
  <si>
    <t>Total</t>
  </si>
  <si>
    <t>YOB</t>
  </si>
  <si>
    <t>Age</t>
  </si>
  <si>
    <t>1 - tPx</t>
  </si>
  <si>
    <t>Cumulatiove Probability of</t>
  </si>
  <si>
    <t>Survival</t>
  </si>
  <si>
    <t>Death</t>
  </si>
  <si>
    <t>Survive = 1</t>
  </si>
  <si>
    <t>Dead = 0</t>
  </si>
  <si>
    <t>Scenario</t>
  </si>
  <si>
    <t>Random Number</t>
  </si>
  <si>
    <t>Cash Flow Projection by Contract</t>
  </si>
  <si>
    <t>Year \ Contract</t>
  </si>
  <si>
    <t>Year \ Scen</t>
  </si>
  <si>
    <t>Total Cash Flow by Scenario</t>
  </si>
  <si>
    <t>Mean</t>
  </si>
  <si>
    <t>Std Dev</t>
  </si>
  <si>
    <t>Median</t>
  </si>
  <si>
    <t>Min</t>
  </si>
  <si>
    <t>Max</t>
  </si>
  <si>
    <t>PV Cash Flow</t>
  </si>
  <si>
    <t>PV Cash Flow Statistics</t>
  </si>
  <si>
    <t>Number of Scenarios</t>
  </si>
  <si>
    <t>Number of contracts</t>
  </si>
  <si>
    <t>Discount rate</t>
  </si>
  <si>
    <t>Discount Rate</t>
  </si>
  <si>
    <t>Table</t>
  </si>
  <si>
    <t>Description</t>
  </si>
  <si>
    <t>Data (extendable)</t>
  </si>
  <si>
    <t>Age Nearest Birth. Source: https://mort.soa.org</t>
  </si>
  <si>
    <t>Age \ Gender</t>
  </si>
  <si>
    <t>Mortality improvement.</t>
  </si>
  <si>
    <t>Random Numbers</t>
  </si>
  <si>
    <t>Random Numbers Seed</t>
  </si>
  <si>
    <t>Scenario \ Policy</t>
  </si>
  <si>
    <t>Policy #</t>
  </si>
  <si>
    <t>Last Projection Year</t>
  </si>
  <si>
    <t>Start date of the projection in MM/DD/YYYY format.</t>
  </si>
  <si>
    <t>Determines when a given policy will live or die in a given scenario. If this table is empty, then random numbers are generated based on Random Number Seed. If this table is specified, it must cover all policies and scenarios.</t>
  </si>
  <si>
    <t>The seed is used to generate consistent random numbers for a policies or scenarios only when Random Numbers table is empty.</t>
  </si>
  <si>
    <t>Parameters</t>
  </si>
  <si>
    <t>Values</t>
  </si>
  <si>
    <t>Report Name</t>
  </si>
  <si>
    <t>Policy Results</t>
  </si>
  <si>
    <t>Scenario Results</t>
  </si>
  <si>
    <t>Total Results</t>
  </si>
  <si>
    <t>Yes</t>
  </si>
  <si>
    <t>Dashboard Results</t>
  </si>
  <si>
    <t>Create?</t>
  </si>
  <si>
    <t>Scenarios</t>
  </si>
  <si>
    <t>Runtime</t>
  </si>
  <si>
    <t>Create graph?</t>
  </si>
  <si>
    <t>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</si>
</sst>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400]h:mm:ss\ AM/PM"/>
    <numFmt numFmtId="166" formatCode="mm:ss.0;@"/>
    <numFmt numFmtId="167" formatCode="0.00000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4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1" applyNumberFormat="1" applyFont="1" applyAlignment="1"/>
    <xf numFmtId="37" fontId="0" fillId="0" borderId="0" xfId="2" applyNumberFormat="1" applyFont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0" borderId="0" xfId="0" applyFont="1"/>
    <xf numFmtId="165" fontId="4" fillId="0" borderId="0" xfId="0" applyNumberFormat="1" applyFont="1" applyAlignment="1">
      <alignment horizontal="center"/>
    </xf>
    <xf numFmtId="0" fontId="4" fillId="0" borderId="4" xfId="0" applyFont="1" applyBorder="1" applyAlignment="1">
      <alignment horizontal="center"/>
    </xf>
    <xf numFmtId="164" fontId="4" fillId="0" borderId="6" xfId="1" applyNumberFormat="1" applyFont="1" applyBorder="1" applyAlignment="1">
      <alignment horizontal="center"/>
    </xf>
    <xf numFmtId="164" fontId="4" fillId="0" borderId="7" xfId="1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66" fontId="5" fillId="0" borderId="0" xfId="0" applyNumberFormat="1" applyFont="1" applyAlignment="1">
      <alignment horizontal="center"/>
    </xf>
    <xf numFmtId="164" fontId="0" fillId="0" borderId="0" xfId="1" applyNumberFormat="1" applyFont="1"/>
    <xf numFmtId="0" fontId="6" fillId="0" borderId="0" xfId="0" applyFont="1"/>
    <xf numFmtId="0" fontId="6" fillId="2" borderId="0" xfId="0" applyFont="1" applyFill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1" fontId="6" fillId="2" borderId="0" xfId="0" applyNumberFormat="1" applyFont="1" applyFill="1" applyAlignment="1">
      <alignment horizontal="center"/>
    </xf>
    <xf numFmtId="14" fontId="0" fillId="0" borderId="0" xfId="0" applyNumberFormat="1"/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4" fillId="0" borderId="0" xfId="0" applyFont="1" applyAlignment="1">
      <alignment horizontal="center"/>
    </xf>
    <xf numFmtId="0" fontId="7" fillId="0" borderId="5" xfId="0" applyFont="1" applyBorder="1"/>
    <xf numFmtId="166" fontId="4" fillId="0" borderId="8" xfId="0" applyNumberFormat="1" applyFont="1" applyBorder="1"/>
    <xf numFmtId="10" fontId="4" fillId="0" borderId="0" xfId="0" applyNumberFormat="1" applyFont="1" applyAlignment="1">
      <alignment horizontal="center"/>
    </xf>
    <xf numFmtId="167" fontId="0" fillId="0" borderId="0" xfId="0" applyNumberFormat="1"/>
    <xf numFmtId="167" fontId="0" fillId="0" borderId="0" xfId="1" applyNumberFormat="1" applyFont="1"/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Liability Cash Flow</a:t>
            </a:r>
            <a:r>
              <a:rPr lang="en-US" b="1" baseline="0"/>
              <a:t> Projection at 12/31/2024 for payout annuities acquired from XYZ Life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479050288205484E-2"/>
          <c:y val="0.15935303381194998"/>
          <c:w val="0.91952094971179454"/>
          <c:h val="0.71884030788286291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'Scenario Results'!$B$4:$B$64</c:f>
              <c:numCache>
                <c:formatCode>_(* #,##0_);_(* \(#,##0\);_(* "-"??_);_(@_)</c:formatCode>
                <c:ptCount val="61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EB40-9425-699E87B33A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'Scenario Results'!$C$4:$C$64</c:f>
              <c:numCache>
                <c:formatCode>_(* #,##0_);_(* \(#,##0\);_(* "-"??_);_(@_)</c:formatCode>
                <c:ptCount val="61"/>
                <c:pt idx="0">
                  <c:v>98000</c:v>
                </c:pt>
                <c:pt idx="1">
                  <c:v>98000</c:v>
                </c:pt>
                <c:pt idx="2">
                  <c:v>98000</c:v>
                </c:pt>
                <c:pt idx="3">
                  <c:v>98000</c:v>
                </c:pt>
                <c:pt idx="4">
                  <c:v>98000</c:v>
                </c:pt>
                <c:pt idx="5">
                  <c:v>98000</c:v>
                </c:pt>
                <c:pt idx="6">
                  <c:v>98000</c:v>
                </c:pt>
                <c:pt idx="7">
                  <c:v>98000</c:v>
                </c:pt>
                <c:pt idx="8">
                  <c:v>98000</c:v>
                </c:pt>
                <c:pt idx="9">
                  <c:v>98000</c:v>
                </c:pt>
                <c:pt idx="10">
                  <c:v>98000</c:v>
                </c:pt>
                <c:pt idx="11">
                  <c:v>98000</c:v>
                </c:pt>
                <c:pt idx="12">
                  <c:v>98000</c:v>
                </c:pt>
                <c:pt idx="13">
                  <c:v>98000</c:v>
                </c:pt>
                <c:pt idx="14">
                  <c:v>98000</c:v>
                </c:pt>
                <c:pt idx="15">
                  <c:v>98000</c:v>
                </c:pt>
                <c:pt idx="16">
                  <c:v>98000</c:v>
                </c:pt>
                <c:pt idx="17">
                  <c:v>98000</c:v>
                </c:pt>
                <c:pt idx="18">
                  <c:v>98000</c:v>
                </c:pt>
                <c:pt idx="19">
                  <c:v>98000</c:v>
                </c:pt>
                <c:pt idx="20">
                  <c:v>98000</c:v>
                </c:pt>
                <c:pt idx="21">
                  <c:v>98000</c:v>
                </c:pt>
                <c:pt idx="22">
                  <c:v>98000</c:v>
                </c:pt>
                <c:pt idx="23">
                  <c:v>98000</c:v>
                </c:pt>
                <c:pt idx="24">
                  <c:v>98000</c:v>
                </c:pt>
                <c:pt idx="25">
                  <c:v>98000</c:v>
                </c:pt>
                <c:pt idx="26">
                  <c:v>98000</c:v>
                </c:pt>
                <c:pt idx="27">
                  <c:v>98000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EB40-9425-699E87B33A5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'Scenario Results'!$D$4:$D$64</c:f>
              <c:numCache>
                <c:formatCode>_(* #,##0_);_(* \(#,##0\);_(* "-"??_);_(@_)</c:formatCode>
                <c:ptCount val="61"/>
                <c:pt idx="0">
                  <c:v>65000</c:v>
                </c:pt>
                <c:pt idx="1">
                  <c:v>65000</c:v>
                </c:pt>
                <c:pt idx="2">
                  <c:v>65000</c:v>
                </c:pt>
                <c:pt idx="3">
                  <c:v>65000</c:v>
                </c:pt>
                <c:pt idx="4">
                  <c:v>65000</c:v>
                </c:pt>
                <c:pt idx="5">
                  <c:v>65000</c:v>
                </c:pt>
                <c:pt idx="6">
                  <c:v>65000</c:v>
                </c:pt>
                <c:pt idx="7">
                  <c:v>65000</c:v>
                </c:pt>
                <c:pt idx="8">
                  <c:v>65000</c:v>
                </c:pt>
                <c:pt idx="9">
                  <c:v>65000</c:v>
                </c:pt>
                <c:pt idx="10">
                  <c:v>65000</c:v>
                </c:pt>
                <c:pt idx="11">
                  <c:v>65000</c:v>
                </c:pt>
                <c:pt idx="12">
                  <c:v>65000</c:v>
                </c:pt>
                <c:pt idx="13">
                  <c:v>65000</c:v>
                </c:pt>
                <c:pt idx="14">
                  <c:v>65000</c:v>
                </c:pt>
                <c:pt idx="15">
                  <c:v>65000</c:v>
                </c:pt>
                <c:pt idx="16">
                  <c:v>65000</c:v>
                </c:pt>
                <c:pt idx="17">
                  <c:v>65000</c:v>
                </c:pt>
                <c:pt idx="18">
                  <c:v>65000</c:v>
                </c:pt>
                <c:pt idx="19">
                  <c:v>65000</c:v>
                </c:pt>
                <c:pt idx="20">
                  <c:v>65000</c:v>
                </c:pt>
                <c:pt idx="21">
                  <c:v>65000</c:v>
                </c:pt>
                <c:pt idx="22">
                  <c:v>65000</c:v>
                </c:pt>
                <c:pt idx="23">
                  <c:v>65000</c:v>
                </c:pt>
                <c:pt idx="24">
                  <c:v>65000</c:v>
                </c:pt>
                <c:pt idx="25">
                  <c:v>65000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EB40-9425-699E87B33A59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'Scenario Results'!$E$4:$E$64</c:f>
              <c:numCache>
                <c:formatCode>_(* #,##0_);_(* \(#,##0\);_(* "-"??_);_(@_)</c:formatCode>
                <c:ptCount val="61"/>
                <c:pt idx="0">
                  <c:v>49000</c:v>
                </c:pt>
                <c:pt idx="1">
                  <c:v>49000</c:v>
                </c:pt>
                <c:pt idx="2">
                  <c:v>49000</c:v>
                </c:pt>
                <c:pt idx="3">
                  <c:v>49000</c:v>
                </c:pt>
                <c:pt idx="4">
                  <c:v>49000</c:v>
                </c:pt>
                <c:pt idx="5">
                  <c:v>49000</c:v>
                </c:pt>
                <c:pt idx="6">
                  <c:v>49000</c:v>
                </c:pt>
                <c:pt idx="7">
                  <c:v>49000</c:v>
                </c:pt>
                <c:pt idx="8">
                  <c:v>49000</c:v>
                </c:pt>
                <c:pt idx="9">
                  <c:v>49000</c:v>
                </c:pt>
                <c:pt idx="10">
                  <c:v>49000</c:v>
                </c:pt>
                <c:pt idx="11">
                  <c:v>49000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A-804B-BF98-9A73200D4EB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'Scenario Results'!$F$4:$F$64</c:f>
              <c:numCache>
                <c:formatCode>_(* #,##0_);_(* \(#,##0\);_(* "-"??_);_(@_)</c:formatCode>
                <c:ptCount val="61"/>
                <c:pt idx="0">
                  <c:v>39000</c:v>
                </c:pt>
                <c:pt idx="1">
                  <c:v>39000</c:v>
                </c:pt>
                <c:pt idx="2">
                  <c:v>39000</c:v>
                </c:pt>
                <c:pt idx="3">
                  <c:v>39000</c:v>
                </c:pt>
                <c:pt idx="4">
                  <c:v>39000</c:v>
                </c:pt>
                <c:pt idx="5">
                  <c:v>39000</c:v>
                </c:pt>
                <c:pt idx="6">
                  <c:v>39000</c:v>
                </c:pt>
                <c:pt idx="7">
                  <c:v>39000</c:v>
                </c:pt>
                <c:pt idx="8">
                  <c:v>39000</c:v>
                </c:pt>
                <c:pt idx="9">
                  <c:v>39000</c:v>
                </c:pt>
                <c:pt idx="10">
                  <c:v>39000</c:v>
                </c:pt>
                <c:pt idx="11">
                  <c:v>39000</c:v>
                </c:pt>
                <c:pt idx="12">
                  <c:v>39000</c:v>
                </c:pt>
                <c:pt idx="13">
                  <c:v>39000</c:v>
                </c:pt>
                <c:pt idx="14">
                  <c:v>39000</c:v>
                </c:pt>
                <c:pt idx="15">
                  <c:v>39000</c:v>
                </c:pt>
                <c:pt idx="16">
                  <c:v>39000</c:v>
                </c:pt>
                <c:pt idx="17">
                  <c:v>39000</c:v>
                </c:pt>
                <c:pt idx="18">
                  <c:v>39000</c:v>
                </c:pt>
                <c:pt idx="19">
                  <c:v>39000</c:v>
                </c:pt>
                <c:pt idx="20">
                  <c:v>39000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A-804B-BF98-9A73200D4EB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'Scenario Results'!$G$4:$G$64</c:f>
              <c:numCache>
                <c:formatCode>_(* #,##0_);_(* \(#,##0\);_(* "-"??_);_(@_)</c:formatCode>
                <c:ptCount val="61"/>
                <c:pt idx="0">
                  <c:v>78000</c:v>
                </c:pt>
                <c:pt idx="1">
                  <c:v>78000</c:v>
                </c:pt>
                <c:pt idx="2">
                  <c:v>78000</c:v>
                </c:pt>
                <c:pt idx="3">
                  <c:v>78000</c:v>
                </c:pt>
                <c:pt idx="4">
                  <c:v>78000</c:v>
                </c:pt>
                <c:pt idx="5">
                  <c:v>78000</c:v>
                </c:pt>
                <c:pt idx="6">
                  <c:v>78000</c:v>
                </c:pt>
                <c:pt idx="7">
                  <c:v>78000</c:v>
                </c:pt>
                <c:pt idx="8">
                  <c:v>78000</c:v>
                </c:pt>
                <c:pt idx="9">
                  <c:v>78000</c:v>
                </c:pt>
                <c:pt idx="10">
                  <c:v>78000</c:v>
                </c:pt>
                <c:pt idx="11">
                  <c:v>78000</c:v>
                </c:pt>
                <c:pt idx="12">
                  <c:v>78000</c:v>
                </c:pt>
                <c:pt idx="13">
                  <c:v>78000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A-804B-BF98-9A73200D4EB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Results'!$H$4:$H$64</c:f>
              <c:numCache>
                <c:formatCode>_(* #,##0_);_(* \(#,##0\);_(* "-"??_);_(@_)</c:formatCode>
                <c:ptCount val="6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3A-804B-BF98-9A73200D4EB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Results'!$I$4:$I$64</c:f>
              <c:numCache>
                <c:formatCode>_(* #,##0_);_(* \(#,##0\);_(* "-"??_);_(@_)</c:formatCode>
                <c:ptCount val="61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  <c:pt idx="30">
                  <c:v>50000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3A-804B-BF98-9A73200D4EB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Results'!$J$4:$J$64</c:f>
              <c:numCache>
                <c:formatCode>_(* #,##0_);_(* \(#,##0\);_(* "-"??_);_(@_)</c:formatCode>
                <c:ptCount val="61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22000</c:v>
                </c:pt>
                <c:pt idx="11">
                  <c:v>22000</c:v>
                </c:pt>
                <c:pt idx="12">
                  <c:v>22000</c:v>
                </c:pt>
                <c:pt idx="13">
                  <c:v>22000</c:v>
                </c:pt>
                <c:pt idx="14">
                  <c:v>22000</c:v>
                </c:pt>
                <c:pt idx="15">
                  <c:v>22000</c:v>
                </c:pt>
                <c:pt idx="16">
                  <c:v>22000</c:v>
                </c:pt>
                <c:pt idx="17">
                  <c:v>22000</c:v>
                </c:pt>
                <c:pt idx="18">
                  <c:v>22000</c:v>
                </c:pt>
                <c:pt idx="19">
                  <c:v>22000</c:v>
                </c:pt>
                <c:pt idx="20">
                  <c:v>22000</c:v>
                </c:pt>
                <c:pt idx="21">
                  <c:v>22000</c:v>
                </c:pt>
                <c:pt idx="22">
                  <c:v>22000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3A-804B-BF98-9A73200D4EB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Results'!$K$4:$K$64</c:f>
              <c:numCache>
                <c:formatCode>_(* #,##0_);_(* \(#,##0\);_(* "-"??_);_(@_)</c:formatCode>
                <c:ptCount val="61"/>
                <c:pt idx="0">
                  <c:v>96000</c:v>
                </c:pt>
                <c:pt idx="1">
                  <c:v>96000</c:v>
                </c:pt>
                <c:pt idx="2">
                  <c:v>96000</c:v>
                </c:pt>
                <c:pt idx="3">
                  <c:v>96000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3A-804B-BF98-9A73200D4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8012095"/>
        <c:axId val="1925862816"/>
      </c:barChart>
      <c:catAx>
        <c:axId val="60801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62816"/>
        <c:crosses val="autoZero"/>
        <c:auto val="1"/>
        <c:lblAlgn val="ctr"/>
        <c:lblOffset val="100"/>
        <c:noMultiLvlLbl val="0"/>
      </c:catAx>
      <c:valAx>
        <c:axId val="19258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1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9308815211657867E-2"/>
          <c:y val="0.93203503494647444"/>
          <c:w val="0.83366634255463834"/>
          <c:h val="5.9951996132062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Cash</a:t>
            </a:r>
            <a:r>
              <a:rPr lang="en-US" sz="1600" b="1" baseline="0"/>
              <a:t> Flow Projection by Scenario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8085460836383E-2"/>
          <c:y val="3.1161473087818695E-2"/>
          <c:w val="0.88752986572880921"/>
          <c:h val="0.8694297112860892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Results'!$B$8:$B$68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447000</c:v>
                </c:pt>
                <c:pt idx="4">
                  <c:v>369000</c:v>
                </c:pt>
                <c:pt idx="5">
                  <c:v>369000</c:v>
                </c:pt>
                <c:pt idx="6">
                  <c:v>369000</c:v>
                </c:pt>
                <c:pt idx="7">
                  <c:v>320000</c:v>
                </c:pt>
                <c:pt idx="8">
                  <c:v>320000</c:v>
                </c:pt>
                <c:pt idx="9">
                  <c:v>300000</c:v>
                </c:pt>
                <c:pt idx="10">
                  <c:v>250000</c:v>
                </c:pt>
                <c:pt idx="11">
                  <c:v>250000</c:v>
                </c:pt>
                <c:pt idx="12">
                  <c:v>250000</c:v>
                </c:pt>
                <c:pt idx="13">
                  <c:v>250000</c:v>
                </c:pt>
                <c:pt idx="14">
                  <c:v>250000</c:v>
                </c:pt>
                <c:pt idx="15">
                  <c:v>250000</c:v>
                </c:pt>
                <c:pt idx="16">
                  <c:v>154000</c:v>
                </c:pt>
                <c:pt idx="17">
                  <c:v>154000</c:v>
                </c:pt>
                <c:pt idx="18">
                  <c:v>154000</c:v>
                </c:pt>
                <c:pt idx="19">
                  <c:v>154000</c:v>
                </c:pt>
                <c:pt idx="20">
                  <c:v>89000</c:v>
                </c:pt>
                <c:pt idx="21">
                  <c:v>89000</c:v>
                </c:pt>
                <c:pt idx="22">
                  <c:v>89000</c:v>
                </c:pt>
                <c:pt idx="23">
                  <c:v>89000</c:v>
                </c:pt>
                <c:pt idx="24">
                  <c:v>61000</c:v>
                </c:pt>
                <c:pt idx="25">
                  <c:v>61000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764-8E4A-A768-0F9E9DB74E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Results'!$C$8:$C$68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457000</c:v>
                </c:pt>
                <c:pt idx="11">
                  <c:v>392000</c:v>
                </c:pt>
                <c:pt idx="12">
                  <c:v>392000</c:v>
                </c:pt>
                <c:pt idx="13">
                  <c:v>392000</c:v>
                </c:pt>
                <c:pt idx="14">
                  <c:v>314000</c:v>
                </c:pt>
                <c:pt idx="15">
                  <c:v>314000</c:v>
                </c:pt>
                <c:pt idx="16">
                  <c:v>314000</c:v>
                </c:pt>
                <c:pt idx="17">
                  <c:v>294000</c:v>
                </c:pt>
                <c:pt idx="18">
                  <c:v>272000</c:v>
                </c:pt>
                <c:pt idx="19">
                  <c:v>174000</c:v>
                </c:pt>
                <c:pt idx="20">
                  <c:v>174000</c:v>
                </c:pt>
                <c:pt idx="21">
                  <c:v>174000</c:v>
                </c:pt>
                <c:pt idx="22">
                  <c:v>124000</c:v>
                </c:pt>
                <c:pt idx="23">
                  <c:v>124000</c:v>
                </c:pt>
                <c:pt idx="24">
                  <c:v>124000</c:v>
                </c:pt>
                <c:pt idx="25">
                  <c:v>124000</c:v>
                </c:pt>
                <c:pt idx="26">
                  <c:v>124000</c:v>
                </c:pt>
                <c:pt idx="27">
                  <c:v>124000</c:v>
                </c:pt>
                <c:pt idx="28">
                  <c:v>124000</c:v>
                </c:pt>
                <c:pt idx="29">
                  <c:v>28000</c:v>
                </c:pt>
                <c:pt idx="30">
                  <c:v>28000</c:v>
                </c:pt>
                <c:pt idx="31">
                  <c:v>28000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764-8E4A-A768-0F9E9DB74E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Results'!$D$8:$D$68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447000</c:v>
                </c:pt>
                <c:pt idx="9">
                  <c:v>447000</c:v>
                </c:pt>
                <c:pt idx="10">
                  <c:v>447000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349000</c:v>
                </c:pt>
                <c:pt idx="15">
                  <c:v>214000</c:v>
                </c:pt>
                <c:pt idx="16">
                  <c:v>214000</c:v>
                </c:pt>
                <c:pt idx="17">
                  <c:v>164000</c:v>
                </c:pt>
                <c:pt idx="18">
                  <c:v>164000</c:v>
                </c:pt>
                <c:pt idx="19">
                  <c:v>164000</c:v>
                </c:pt>
                <c:pt idx="20">
                  <c:v>164000</c:v>
                </c:pt>
                <c:pt idx="21">
                  <c:v>164000</c:v>
                </c:pt>
                <c:pt idx="22">
                  <c:v>164000</c:v>
                </c:pt>
                <c:pt idx="23">
                  <c:v>99000</c:v>
                </c:pt>
                <c:pt idx="24">
                  <c:v>99000</c:v>
                </c:pt>
                <c:pt idx="25">
                  <c:v>99000</c:v>
                </c:pt>
                <c:pt idx="26">
                  <c:v>50000</c:v>
                </c:pt>
                <c:pt idx="27">
                  <c:v>50000</c:v>
                </c:pt>
                <c:pt idx="28">
                  <c:v>22000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64-8E4A-A768-0F9E9DB74E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Results'!$E$8:$E$68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398000</c:v>
                </c:pt>
                <c:pt idx="15">
                  <c:v>302000</c:v>
                </c:pt>
                <c:pt idx="16">
                  <c:v>302000</c:v>
                </c:pt>
                <c:pt idx="17">
                  <c:v>204000</c:v>
                </c:pt>
                <c:pt idx="18">
                  <c:v>154000</c:v>
                </c:pt>
                <c:pt idx="19">
                  <c:v>115000</c:v>
                </c:pt>
                <c:pt idx="20">
                  <c:v>115000</c:v>
                </c:pt>
                <c:pt idx="21">
                  <c:v>115000</c:v>
                </c:pt>
                <c:pt idx="22">
                  <c:v>115000</c:v>
                </c:pt>
                <c:pt idx="23">
                  <c:v>115000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87000</c:v>
                </c:pt>
                <c:pt idx="33">
                  <c:v>87000</c:v>
                </c:pt>
                <c:pt idx="34">
                  <c:v>22000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64-8E4A-A768-0F9E9DB74E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Results'!$F$8:$F$68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368000</c:v>
                </c:pt>
                <c:pt idx="14">
                  <c:v>368000</c:v>
                </c:pt>
                <c:pt idx="15">
                  <c:v>205000</c:v>
                </c:pt>
                <c:pt idx="16">
                  <c:v>205000</c:v>
                </c:pt>
                <c:pt idx="17">
                  <c:v>177000</c:v>
                </c:pt>
                <c:pt idx="18">
                  <c:v>157000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157000</c:v>
                </c:pt>
                <c:pt idx="23">
                  <c:v>157000</c:v>
                </c:pt>
                <c:pt idx="24">
                  <c:v>157000</c:v>
                </c:pt>
                <c:pt idx="25">
                  <c:v>157000</c:v>
                </c:pt>
                <c:pt idx="26">
                  <c:v>157000</c:v>
                </c:pt>
                <c:pt idx="27">
                  <c:v>157000</c:v>
                </c:pt>
                <c:pt idx="28">
                  <c:v>157000</c:v>
                </c:pt>
                <c:pt idx="29">
                  <c:v>157000</c:v>
                </c:pt>
                <c:pt idx="30">
                  <c:v>157000</c:v>
                </c:pt>
                <c:pt idx="31">
                  <c:v>157000</c:v>
                </c:pt>
                <c:pt idx="32">
                  <c:v>61000</c:v>
                </c:pt>
                <c:pt idx="33">
                  <c:v>61000</c:v>
                </c:pt>
                <c:pt idx="34">
                  <c:v>61000</c:v>
                </c:pt>
                <c:pt idx="35">
                  <c:v>61000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4-8E4A-A768-0F9E9DB74E4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Results'!$G$8:$G$68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495000</c:v>
                </c:pt>
                <c:pt idx="7">
                  <c:v>456000</c:v>
                </c:pt>
                <c:pt idx="8">
                  <c:v>360000</c:v>
                </c:pt>
                <c:pt idx="9">
                  <c:v>360000</c:v>
                </c:pt>
                <c:pt idx="10">
                  <c:v>360000</c:v>
                </c:pt>
                <c:pt idx="11">
                  <c:v>311000</c:v>
                </c:pt>
                <c:pt idx="12">
                  <c:v>311000</c:v>
                </c:pt>
                <c:pt idx="13">
                  <c:v>311000</c:v>
                </c:pt>
                <c:pt idx="14">
                  <c:v>311000</c:v>
                </c:pt>
                <c:pt idx="15">
                  <c:v>311000</c:v>
                </c:pt>
                <c:pt idx="16">
                  <c:v>311000</c:v>
                </c:pt>
                <c:pt idx="17">
                  <c:v>311000</c:v>
                </c:pt>
                <c:pt idx="18">
                  <c:v>289000</c:v>
                </c:pt>
                <c:pt idx="19">
                  <c:v>191000</c:v>
                </c:pt>
                <c:pt idx="20">
                  <c:v>191000</c:v>
                </c:pt>
                <c:pt idx="21">
                  <c:v>191000</c:v>
                </c:pt>
                <c:pt idx="22">
                  <c:v>191000</c:v>
                </c:pt>
                <c:pt idx="23">
                  <c:v>191000</c:v>
                </c:pt>
                <c:pt idx="24">
                  <c:v>143000</c:v>
                </c:pt>
                <c:pt idx="25">
                  <c:v>143000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65000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4-8E4A-A768-0F9E9DB74E4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Results'!$H$8:$H$68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495000</c:v>
                </c:pt>
                <c:pt idx="9">
                  <c:v>379000</c:v>
                </c:pt>
                <c:pt idx="10">
                  <c:v>379000</c:v>
                </c:pt>
                <c:pt idx="11">
                  <c:v>379000</c:v>
                </c:pt>
                <c:pt idx="12">
                  <c:v>379000</c:v>
                </c:pt>
                <c:pt idx="13">
                  <c:v>379000</c:v>
                </c:pt>
                <c:pt idx="14">
                  <c:v>340000</c:v>
                </c:pt>
                <c:pt idx="15">
                  <c:v>340000</c:v>
                </c:pt>
                <c:pt idx="16">
                  <c:v>340000</c:v>
                </c:pt>
                <c:pt idx="17">
                  <c:v>340000</c:v>
                </c:pt>
                <c:pt idx="18">
                  <c:v>262000</c:v>
                </c:pt>
                <c:pt idx="19">
                  <c:v>262000</c:v>
                </c:pt>
                <c:pt idx="20">
                  <c:v>262000</c:v>
                </c:pt>
                <c:pt idx="21">
                  <c:v>262000</c:v>
                </c:pt>
                <c:pt idx="22">
                  <c:v>197000</c:v>
                </c:pt>
                <c:pt idx="23">
                  <c:v>197000</c:v>
                </c:pt>
                <c:pt idx="24">
                  <c:v>99000</c:v>
                </c:pt>
                <c:pt idx="25">
                  <c:v>50000</c:v>
                </c:pt>
                <c:pt idx="26">
                  <c:v>50000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4-8E4A-A768-0F9E9DB74E4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Results'!$I$8:$I$68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525000</c:v>
                </c:pt>
                <c:pt idx="6">
                  <c:v>525000</c:v>
                </c:pt>
                <c:pt idx="7">
                  <c:v>447000</c:v>
                </c:pt>
                <c:pt idx="8">
                  <c:v>447000</c:v>
                </c:pt>
                <c:pt idx="9">
                  <c:v>447000</c:v>
                </c:pt>
                <c:pt idx="10">
                  <c:v>398000</c:v>
                </c:pt>
                <c:pt idx="11">
                  <c:v>348000</c:v>
                </c:pt>
                <c:pt idx="12">
                  <c:v>348000</c:v>
                </c:pt>
                <c:pt idx="13">
                  <c:v>348000</c:v>
                </c:pt>
                <c:pt idx="14">
                  <c:v>348000</c:v>
                </c:pt>
                <c:pt idx="15">
                  <c:v>250000</c:v>
                </c:pt>
                <c:pt idx="16">
                  <c:v>250000</c:v>
                </c:pt>
                <c:pt idx="17">
                  <c:v>185000</c:v>
                </c:pt>
                <c:pt idx="18">
                  <c:v>185000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64-8E4A-A768-0F9E9DB74E4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Results'!$J$8:$J$68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467000</c:v>
                </c:pt>
                <c:pt idx="9">
                  <c:v>467000</c:v>
                </c:pt>
                <c:pt idx="10">
                  <c:v>402000</c:v>
                </c:pt>
                <c:pt idx="11">
                  <c:v>380000</c:v>
                </c:pt>
                <c:pt idx="12">
                  <c:v>193000</c:v>
                </c:pt>
                <c:pt idx="13">
                  <c:v>144000</c:v>
                </c:pt>
                <c:pt idx="14">
                  <c:v>48000</c:v>
                </c:pt>
                <c:pt idx="15">
                  <c:v>48000</c:v>
                </c:pt>
                <c:pt idx="16">
                  <c:v>48000</c:v>
                </c:pt>
                <c:pt idx="17">
                  <c:v>48000</c:v>
                </c:pt>
                <c:pt idx="18">
                  <c:v>48000</c:v>
                </c:pt>
                <c:pt idx="19">
                  <c:v>48000</c:v>
                </c:pt>
                <c:pt idx="20">
                  <c:v>48000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64-8E4A-A768-0F9E9DB74E4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Results'!$K$8:$K$68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417000</c:v>
                </c:pt>
                <c:pt idx="13">
                  <c:v>417000</c:v>
                </c:pt>
                <c:pt idx="14">
                  <c:v>321000</c:v>
                </c:pt>
                <c:pt idx="15">
                  <c:v>321000</c:v>
                </c:pt>
                <c:pt idx="16">
                  <c:v>272000</c:v>
                </c:pt>
                <c:pt idx="17">
                  <c:v>252000</c:v>
                </c:pt>
                <c:pt idx="18">
                  <c:v>252000</c:v>
                </c:pt>
                <c:pt idx="19">
                  <c:v>252000</c:v>
                </c:pt>
                <c:pt idx="20">
                  <c:v>154000</c:v>
                </c:pt>
                <c:pt idx="21">
                  <c:v>154000</c:v>
                </c:pt>
                <c:pt idx="22">
                  <c:v>126000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64-8E4A-A768-0F9E9DB74E46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Results'!$L$8:$L$68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517000</c:v>
                </c:pt>
                <c:pt idx="5">
                  <c:v>517000</c:v>
                </c:pt>
                <c:pt idx="6">
                  <c:v>419000</c:v>
                </c:pt>
                <c:pt idx="7">
                  <c:v>369000</c:v>
                </c:pt>
                <c:pt idx="8">
                  <c:v>369000</c:v>
                </c:pt>
                <c:pt idx="9">
                  <c:v>369000</c:v>
                </c:pt>
                <c:pt idx="10">
                  <c:v>369000</c:v>
                </c:pt>
                <c:pt idx="11">
                  <c:v>369000</c:v>
                </c:pt>
                <c:pt idx="12">
                  <c:v>255000</c:v>
                </c:pt>
                <c:pt idx="13">
                  <c:v>157000</c:v>
                </c:pt>
                <c:pt idx="14">
                  <c:v>157000</c:v>
                </c:pt>
                <c:pt idx="15">
                  <c:v>157000</c:v>
                </c:pt>
                <c:pt idx="16">
                  <c:v>157000</c:v>
                </c:pt>
                <c:pt idx="17">
                  <c:v>118000</c:v>
                </c:pt>
                <c:pt idx="18">
                  <c:v>118000</c:v>
                </c:pt>
                <c:pt idx="19">
                  <c:v>118000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64-8E4A-A768-0F9E9DB74E46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Results'!$M$8:$M$68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447000</c:v>
                </c:pt>
                <c:pt idx="8">
                  <c:v>382000</c:v>
                </c:pt>
                <c:pt idx="9">
                  <c:v>382000</c:v>
                </c:pt>
                <c:pt idx="10">
                  <c:v>354000</c:v>
                </c:pt>
                <c:pt idx="11">
                  <c:v>354000</c:v>
                </c:pt>
                <c:pt idx="12">
                  <c:v>304000</c:v>
                </c:pt>
                <c:pt idx="13">
                  <c:v>208000</c:v>
                </c:pt>
                <c:pt idx="14">
                  <c:v>208000</c:v>
                </c:pt>
                <c:pt idx="15">
                  <c:v>208000</c:v>
                </c:pt>
                <c:pt idx="16">
                  <c:v>208000</c:v>
                </c:pt>
                <c:pt idx="17">
                  <c:v>208000</c:v>
                </c:pt>
                <c:pt idx="18">
                  <c:v>159000</c:v>
                </c:pt>
                <c:pt idx="19">
                  <c:v>159000</c:v>
                </c:pt>
                <c:pt idx="20">
                  <c:v>159000</c:v>
                </c:pt>
                <c:pt idx="21">
                  <c:v>159000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64-8E4A-A768-0F9E9DB74E46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Results'!$N$8:$N$68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545000</c:v>
                </c:pt>
                <c:pt idx="12">
                  <c:v>495000</c:v>
                </c:pt>
                <c:pt idx="13">
                  <c:v>446000</c:v>
                </c:pt>
                <c:pt idx="14">
                  <c:v>446000</c:v>
                </c:pt>
                <c:pt idx="15">
                  <c:v>446000</c:v>
                </c:pt>
                <c:pt idx="16">
                  <c:v>350000</c:v>
                </c:pt>
                <c:pt idx="17">
                  <c:v>252000</c:v>
                </c:pt>
                <c:pt idx="18">
                  <c:v>252000</c:v>
                </c:pt>
                <c:pt idx="19">
                  <c:v>154000</c:v>
                </c:pt>
                <c:pt idx="20">
                  <c:v>126000</c:v>
                </c:pt>
                <c:pt idx="21">
                  <c:v>126000</c:v>
                </c:pt>
                <c:pt idx="22">
                  <c:v>87000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64-8E4A-A768-0F9E9DB74E46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Results'!$O$8:$O$68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369000</c:v>
                </c:pt>
                <c:pt idx="13">
                  <c:v>369000</c:v>
                </c:pt>
                <c:pt idx="14">
                  <c:v>369000</c:v>
                </c:pt>
                <c:pt idx="15">
                  <c:v>369000</c:v>
                </c:pt>
                <c:pt idx="16">
                  <c:v>369000</c:v>
                </c:pt>
                <c:pt idx="17">
                  <c:v>319000</c:v>
                </c:pt>
                <c:pt idx="18">
                  <c:v>254000</c:v>
                </c:pt>
                <c:pt idx="19">
                  <c:v>158000</c:v>
                </c:pt>
                <c:pt idx="20">
                  <c:v>116000</c:v>
                </c:pt>
                <c:pt idx="21">
                  <c:v>67000</c:v>
                </c:pt>
                <c:pt idx="22">
                  <c:v>67000</c:v>
                </c:pt>
                <c:pt idx="23">
                  <c:v>67000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64-8E4A-A768-0F9E9DB74E46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Results'!$P$8:$P$68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419000</c:v>
                </c:pt>
                <c:pt idx="8">
                  <c:v>419000</c:v>
                </c:pt>
                <c:pt idx="9">
                  <c:v>370000</c:v>
                </c:pt>
                <c:pt idx="10">
                  <c:v>370000</c:v>
                </c:pt>
                <c:pt idx="11">
                  <c:v>370000</c:v>
                </c:pt>
                <c:pt idx="12">
                  <c:v>370000</c:v>
                </c:pt>
                <c:pt idx="13">
                  <c:v>370000</c:v>
                </c:pt>
                <c:pt idx="14">
                  <c:v>320000</c:v>
                </c:pt>
                <c:pt idx="15">
                  <c:v>320000</c:v>
                </c:pt>
                <c:pt idx="16">
                  <c:v>320000</c:v>
                </c:pt>
                <c:pt idx="17">
                  <c:v>242000</c:v>
                </c:pt>
                <c:pt idx="18">
                  <c:v>242000</c:v>
                </c:pt>
                <c:pt idx="19">
                  <c:v>242000</c:v>
                </c:pt>
                <c:pt idx="20">
                  <c:v>242000</c:v>
                </c:pt>
                <c:pt idx="21">
                  <c:v>157000</c:v>
                </c:pt>
                <c:pt idx="22">
                  <c:v>61000</c:v>
                </c:pt>
                <c:pt idx="23">
                  <c:v>39000</c:v>
                </c:pt>
                <c:pt idx="24">
                  <c:v>39000</c:v>
                </c:pt>
                <c:pt idx="25">
                  <c:v>39000</c:v>
                </c:pt>
                <c:pt idx="26">
                  <c:v>39000</c:v>
                </c:pt>
                <c:pt idx="27">
                  <c:v>39000</c:v>
                </c:pt>
                <c:pt idx="28">
                  <c:v>39000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64-8E4A-A768-0F9E9DB74E46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Results'!$Q$8:$Q$68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506000</c:v>
                </c:pt>
                <c:pt idx="3">
                  <c:v>506000</c:v>
                </c:pt>
                <c:pt idx="4">
                  <c:v>506000</c:v>
                </c:pt>
                <c:pt idx="5">
                  <c:v>506000</c:v>
                </c:pt>
                <c:pt idx="6">
                  <c:v>506000</c:v>
                </c:pt>
                <c:pt idx="7">
                  <c:v>457000</c:v>
                </c:pt>
                <c:pt idx="8">
                  <c:v>457000</c:v>
                </c:pt>
                <c:pt idx="9">
                  <c:v>457000</c:v>
                </c:pt>
                <c:pt idx="10">
                  <c:v>457000</c:v>
                </c:pt>
                <c:pt idx="11">
                  <c:v>457000</c:v>
                </c:pt>
                <c:pt idx="12">
                  <c:v>457000</c:v>
                </c:pt>
                <c:pt idx="13">
                  <c:v>359000</c:v>
                </c:pt>
                <c:pt idx="14">
                  <c:v>359000</c:v>
                </c:pt>
                <c:pt idx="15">
                  <c:v>309000</c:v>
                </c:pt>
                <c:pt idx="16">
                  <c:v>287000</c:v>
                </c:pt>
                <c:pt idx="17">
                  <c:v>287000</c:v>
                </c:pt>
                <c:pt idx="18">
                  <c:v>222000</c:v>
                </c:pt>
                <c:pt idx="19">
                  <c:v>222000</c:v>
                </c:pt>
                <c:pt idx="20">
                  <c:v>202000</c:v>
                </c:pt>
                <c:pt idx="21">
                  <c:v>202000</c:v>
                </c:pt>
                <c:pt idx="22">
                  <c:v>106000</c:v>
                </c:pt>
                <c:pt idx="23">
                  <c:v>78000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64-8E4A-A768-0F9E9DB74E46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Results'!$R$8:$R$68</c:f>
              <c:numCache>
                <c:formatCode>_(* #,##0_);_(* \(#,##0\);_(* "-"??_);_(@_)</c:formatCode>
                <c:ptCount val="61"/>
                <c:pt idx="0">
                  <c:v>523000</c:v>
                </c:pt>
                <c:pt idx="1">
                  <c:v>523000</c:v>
                </c:pt>
                <c:pt idx="2">
                  <c:v>523000</c:v>
                </c:pt>
                <c:pt idx="3">
                  <c:v>523000</c:v>
                </c:pt>
                <c:pt idx="4">
                  <c:v>453000</c:v>
                </c:pt>
                <c:pt idx="5">
                  <c:v>453000</c:v>
                </c:pt>
                <c:pt idx="6">
                  <c:v>453000</c:v>
                </c:pt>
                <c:pt idx="7">
                  <c:v>453000</c:v>
                </c:pt>
                <c:pt idx="8">
                  <c:v>453000</c:v>
                </c:pt>
                <c:pt idx="9">
                  <c:v>453000</c:v>
                </c:pt>
                <c:pt idx="10">
                  <c:v>453000</c:v>
                </c:pt>
                <c:pt idx="11">
                  <c:v>453000</c:v>
                </c:pt>
                <c:pt idx="12">
                  <c:v>388000</c:v>
                </c:pt>
                <c:pt idx="13">
                  <c:v>349000</c:v>
                </c:pt>
                <c:pt idx="14">
                  <c:v>349000</c:v>
                </c:pt>
                <c:pt idx="15">
                  <c:v>349000</c:v>
                </c:pt>
                <c:pt idx="16">
                  <c:v>251000</c:v>
                </c:pt>
                <c:pt idx="17">
                  <c:v>251000</c:v>
                </c:pt>
                <c:pt idx="18">
                  <c:v>251000</c:v>
                </c:pt>
                <c:pt idx="19">
                  <c:v>251000</c:v>
                </c:pt>
                <c:pt idx="20">
                  <c:v>251000</c:v>
                </c:pt>
                <c:pt idx="21">
                  <c:v>251000</c:v>
                </c:pt>
                <c:pt idx="22">
                  <c:v>251000</c:v>
                </c:pt>
                <c:pt idx="23">
                  <c:v>77000</c:v>
                </c:pt>
                <c:pt idx="24">
                  <c:v>77000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764-8E4A-A768-0F9E9DB74E46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Results'!$S$8:$S$68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517000</c:v>
                </c:pt>
                <c:pt idx="2">
                  <c:v>517000</c:v>
                </c:pt>
                <c:pt idx="3">
                  <c:v>517000</c:v>
                </c:pt>
                <c:pt idx="4">
                  <c:v>517000</c:v>
                </c:pt>
                <c:pt idx="5">
                  <c:v>517000</c:v>
                </c:pt>
                <c:pt idx="6">
                  <c:v>517000</c:v>
                </c:pt>
                <c:pt idx="7">
                  <c:v>468000</c:v>
                </c:pt>
                <c:pt idx="8">
                  <c:v>468000</c:v>
                </c:pt>
                <c:pt idx="9">
                  <c:v>468000</c:v>
                </c:pt>
                <c:pt idx="10">
                  <c:v>468000</c:v>
                </c:pt>
                <c:pt idx="11">
                  <c:v>468000</c:v>
                </c:pt>
                <c:pt idx="12">
                  <c:v>370000</c:v>
                </c:pt>
                <c:pt idx="13">
                  <c:v>370000</c:v>
                </c:pt>
                <c:pt idx="14">
                  <c:v>370000</c:v>
                </c:pt>
                <c:pt idx="15">
                  <c:v>370000</c:v>
                </c:pt>
                <c:pt idx="16">
                  <c:v>255000</c:v>
                </c:pt>
                <c:pt idx="17">
                  <c:v>216000</c:v>
                </c:pt>
                <c:pt idx="18">
                  <c:v>216000</c:v>
                </c:pt>
                <c:pt idx="19">
                  <c:v>216000</c:v>
                </c:pt>
                <c:pt idx="20">
                  <c:v>216000</c:v>
                </c:pt>
                <c:pt idx="21">
                  <c:v>216000</c:v>
                </c:pt>
                <c:pt idx="22">
                  <c:v>216000</c:v>
                </c:pt>
                <c:pt idx="23">
                  <c:v>216000</c:v>
                </c:pt>
                <c:pt idx="24">
                  <c:v>138000</c:v>
                </c:pt>
                <c:pt idx="25">
                  <c:v>42000</c:v>
                </c:pt>
                <c:pt idx="26">
                  <c:v>42000</c:v>
                </c:pt>
                <c:pt idx="27">
                  <c:v>42000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764-8E4A-A768-0F9E9DB74E46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Results'!$T$8:$T$68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447000</c:v>
                </c:pt>
                <c:pt idx="10">
                  <c:v>398000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  <c:pt idx="15">
                  <c:v>261000</c:v>
                </c:pt>
                <c:pt idx="16">
                  <c:v>261000</c:v>
                </c:pt>
                <c:pt idx="17">
                  <c:v>211000</c:v>
                </c:pt>
                <c:pt idx="18">
                  <c:v>211000</c:v>
                </c:pt>
                <c:pt idx="19">
                  <c:v>211000</c:v>
                </c:pt>
                <c:pt idx="20">
                  <c:v>183000</c:v>
                </c:pt>
                <c:pt idx="21">
                  <c:v>183000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118000</c:v>
                </c:pt>
                <c:pt idx="28">
                  <c:v>96000</c:v>
                </c:pt>
                <c:pt idx="29">
                  <c:v>96000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764-8E4A-A768-0F9E9DB74E46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Results'!$U$8:$U$68</c:f>
              <c:numCache>
                <c:formatCode>_(* #,##0_);_(* \(#,##0\);_(* "-"??_);_(@_)</c:formatCode>
                <c:ptCount val="61"/>
                <c:pt idx="0">
                  <c:v>449000</c:v>
                </c:pt>
                <c:pt idx="1">
                  <c:v>449000</c:v>
                </c:pt>
                <c:pt idx="2">
                  <c:v>399000</c:v>
                </c:pt>
                <c:pt idx="3">
                  <c:v>399000</c:v>
                </c:pt>
                <c:pt idx="4">
                  <c:v>399000</c:v>
                </c:pt>
                <c:pt idx="5">
                  <c:v>399000</c:v>
                </c:pt>
                <c:pt idx="6">
                  <c:v>399000</c:v>
                </c:pt>
                <c:pt idx="7">
                  <c:v>399000</c:v>
                </c:pt>
                <c:pt idx="8">
                  <c:v>379000</c:v>
                </c:pt>
                <c:pt idx="9">
                  <c:v>281000</c:v>
                </c:pt>
                <c:pt idx="10">
                  <c:v>281000</c:v>
                </c:pt>
                <c:pt idx="11">
                  <c:v>281000</c:v>
                </c:pt>
                <c:pt idx="12">
                  <c:v>281000</c:v>
                </c:pt>
                <c:pt idx="13">
                  <c:v>281000</c:v>
                </c:pt>
                <c:pt idx="14">
                  <c:v>281000</c:v>
                </c:pt>
                <c:pt idx="15">
                  <c:v>281000</c:v>
                </c:pt>
                <c:pt idx="16">
                  <c:v>281000</c:v>
                </c:pt>
                <c:pt idx="17">
                  <c:v>232000</c:v>
                </c:pt>
                <c:pt idx="18">
                  <c:v>154000</c:v>
                </c:pt>
                <c:pt idx="19">
                  <c:v>154000</c:v>
                </c:pt>
                <c:pt idx="20">
                  <c:v>154000</c:v>
                </c:pt>
                <c:pt idx="21">
                  <c:v>154000</c:v>
                </c:pt>
                <c:pt idx="22">
                  <c:v>154000</c:v>
                </c:pt>
                <c:pt idx="23">
                  <c:v>115000</c:v>
                </c:pt>
                <c:pt idx="24">
                  <c:v>93000</c:v>
                </c:pt>
                <c:pt idx="25">
                  <c:v>65000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64-8E4A-A768-0F9E9DB74E46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Results'!$V$8:$V$68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447000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447000</c:v>
                </c:pt>
                <c:pt idx="8">
                  <c:v>419000</c:v>
                </c:pt>
                <c:pt idx="9">
                  <c:v>399000</c:v>
                </c:pt>
                <c:pt idx="10">
                  <c:v>399000</c:v>
                </c:pt>
                <c:pt idx="11">
                  <c:v>399000</c:v>
                </c:pt>
                <c:pt idx="12">
                  <c:v>399000</c:v>
                </c:pt>
                <c:pt idx="13">
                  <c:v>399000</c:v>
                </c:pt>
                <c:pt idx="14">
                  <c:v>349000</c:v>
                </c:pt>
                <c:pt idx="15">
                  <c:v>349000</c:v>
                </c:pt>
                <c:pt idx="16">
                  <c:v>310000</c:v>
                </c:pt>
                <c:pt idx="17">
                  <c:v>310000</c:v>
                </c:pt>
                <c:pt idx="18">
                  <c:v>310000</c:v>
                </c:pt>
                <c:pt idx="19">
                  <c:v>261000</c:v>
                </c:pt>
                <c:pt idx="20">
                  <c:v>261000</c:v>
                </c:pt>
                <c:pt idx="21">
                  <c:v>261000</c:v>
                </c:pt>
                <c:pt idx="22">
                  <c:v>261000</c:v>
                </c:pt>
                <c:pt idx="23">
                  <c:v>261000</c:v>
                </c:pt>
                <c:pt idx="24">
                  <c:v>165000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764-8E4A-A768-0F9E9DB74E46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Results'!$W$8:$W$68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446000</c:v>
                </c:pt>
                <c:pt idx="9">
                  <c:v>446000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446000</c:v>
                </c:pt>
                <c:pt idx="14">
                  <c:v>368000</c:v>
                </c:pt>
                <c:pt idx="15">
                  <c:v>368000</c:v>
                </c:pt>
                <c:pt idx="16">
                  <c:v>368000</c:v>
                </c:pt>
                <c:pt idx="17">
                  <c:v>368000</c:v>
                </c:pt>
                <c:pt idx="18">
                  <c:v>368000</c:v>
                </c:pt>
                <c:pt idx="19">
                  <c:v>348000</c:v>
                </c:pt>
                <c:pt idx="20">
                  <c:v>250000</c:v>
                </c:pt>
                <c:pt idx="21">
                  <c:v>222000</c:v>
                </c:pt>
                <c:pt idx="22">
                  <c:v>183000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64-8E4A-A768-0F9E9DB74E46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Results'!$X$8:$X$68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495000</c:v>
                </c:pt>
                <c:pt idx="2">
                  <c:v>495000</c:v>
                </c:pt>
                <c:pt idx="3">
                  <c:v>495000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436000</c:v>
                </c:pt>
                <c:pt idx="9">
                  <c:v>436000</c:v>
                </c:pt>
                <c:pt idx="10">
                  <c:v>436000</c:v>
                </c:pt>
                <c:pt idx="11">
                  <c:v>436000</c:v>
                </c:pt>
                <c:pt idx="12">
                  <c:v>436000</c:v>
                </c:pt>
                <c:pt idx="13">
                  <c:v>436000</c:v>
                </c:pt>
                <c:pt idx="14">
                  <c:v>436000</c:v>
                </c:pt>
                <c:pt idx="15">
                  <c:v>436000</c:v>
                </c:pt>
                <c:pt idx="16">
                  <c:v>358000</c:v>
                </c:pt>
                <c:pt idx="17">
                  <c:v>330000</c:v>
                </c:pt>
                <c:pt idx="18">
                  <c:v>232000</c:v>
                </c:pt>
                <c:pt idx="19">
                  <c:v>167000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764-8E4A-A768-0F9E9DB74E46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Results'!$Y$8:$Y$68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467000</c:v>
                </c:pt>
                <c:pt idx="4">
                  <c:v>467000</c:v>
                </c:pt>
                <c:pt idx="5">
                  <c:v>467000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467000</c:v>
                </c:pt>
                <c:pt idx="10">
                  <c:v>467000</c:v>
                </c:pt>
                <c:pt idx="11">
                  <c:v>467000</c:v>
                </c:pt>
                <c:pt idx="12">
                  <c:v>467000</c:v>
                </c:pt>
                <c:pt idx="13">
                  <c:v>467000</c:v>
                </c:pt>
                <c:pt idx="14">
                  <c:v>467000</c:v>
                </c:pt>
                <c:pt idx="15">
                  <c:v>467000</c:v>
                </c:pt>
                <c:pt idx="16">
                  <c:v>467000</c:v>
                </c:pt>
                <c:pt idx="17">
                  <c:v>467000</c:v>
                </c:pt>
                <c:pt idx="18">
                  <c:v>418000</c:v>
                </c:pt>
                <c:pt idx="19">
                  <c:v>368000</c:v>
                </c:pt>
                <c:pt idx="20">
                  <c:v>368000</c:v>
                </c:pt>
                <c:pt idx="21">
                  <c:v>272000</c:v>
                </c:pt>
                <c:pt idx="22">
                  <c:v>244000</c:v>
                </c:pt>
                <c:pt idx="23">
                  <c:v>205000</c:v>
                </c:pt>
                <c:pt idx="24">
                  <c:v>205000</c:v>
                </c:pt>
                <c:pt idx="25">
                  <c:v>205000</c:v>
                </c:pt>
                <c:pt idx="26">
                  <c:v>185000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764-8E4A-A768-0F9E9DB74E46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'Policy Results'!$A$6:$A$66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Results'!$Z$8:$Z$68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449000</c:v>
                </c:pt>
                <c:pt idx="5">
                  <c:v>449000</c:v>
                </c:pt>
                <c:pt idx="6">
                  <c:v>449000</c:v>
                </c:pt>
                <c:pt idx="7">
                  <c:v>449000</c:v>
                </c:pt>
                <c:pt idx="8">
                  <c:v>449000</c:v>
                </c:pt>
                <c:pt idx="9">
                  <c:v>449000</c:v>
                </c:pt>
                <c:pt idx="10">
                  <c:v>449000</c:v>
                </c:pt>
                <c:pt idx="11">
                  <c:v>449000</c:v>
                </c:pt>
                <c:pt idx="12">
                  <c:v>400000</c:v>
                </c:pt>
                <c:pt idx="13">
                  <c:v>400000</c:v>
                </c:pt>
                <c:pt idx="14">
                  <c:v>322000</c:v>
                </c:pt>
                <c:pt idx="15">
                  <c:v>322000</c:v>
                </c:pt>
                <c:pt idx="16">
                  <c:v>322000</c:v>
                </c:pt>
                <c:pt idx="17">
                  <c:v>322000</c:v>
                </c:pt>
                <c:pt idx="18">
                  <c:v>322000</c:v>
                </c:pt>
                <c:pt idx="19">
                  <c:v>322000</c:v>
                </c:pt>
                <c:pt idx="20">
                  <c:v>322000</c:v>
                </c:pt>
                <c:pt idx="21">
                  <c:v>283000</c:v>
                </c:pt>
                <c:pt idx="22">
                  <c:v>283000</c:v>
                </c:pt>
                <c:pt idx="23">
                  <c:v>255000</c:v>
                </c:pt>
                <c:pt idx="24">
                  <c:v>235000</c:v>
                </c:pt>
                <c:pt idx="25">
                  <c:v>235000</c:v>
                </c:pt>
                <c:pt idx="26">
                  <c:v>235000</c:v>
                </c:pt>
                <c:pt idx="27">
                  <c:v>235000</c:v>
                </c:pt>
                <c:pt idx="28">
                  <c:v>137000</c:v>
                </c:pt>
                <c:pt idx="29">
                  <c:v>72000</c:v>
                </c:pt>
                <c:pt idx="30">
                  <c:v>72000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764-8E4A-A768-0F9E9DB74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839903"/>
        <c:axId val="231841615"/>
      </c:lineChart>
      <c:catAx>
        <c:axId val="231839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41615"/>
        <c:crosses val="autoZero"/>
        <c:auto val="1"/>
        <c:lblAlgn val="ctr"/>
        <c:lblOffset val="100"/>
        <c:noMultiLvlLbl val="0"/>
      </c:catAx>
      <c:valAx>
        <c:axId val="23184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9903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61017916238727"/>
          <c:y val="4.9735827685112449E-2"/>
          <c:w val="9.8727985088820414E-2"/>
          <c:h val="0.849484261103092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</xdr:row>
          <xdr:rowOff>47625</xdr:rowOff>
        </xdr:from>
        <xdr:to>
          <xdr:col>5</xdr:col>
          <xdr:colOff>685800</xdr:colOff>
          <xdr:row>2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2</xdr:row>
      <xdr:rowOff>190500</xdr:rowOff>
    </xdr:from>
    <xdr:to>
      <xdr:col>21</xdr:col>
      <xdr:colOff>596900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B3D32-DABA-74C6-9E86-1B3B4020D4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709083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4B549-DED8-4648-2EFE-1682FF1E3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0475-15B1-4814-8609-8CEA793B1D0F}">
  <dimension ref="A1:E249"/>
  <sheetViews>
    <sheetView workbookViewId="0">
      <selection activeCell="H18" sqref="H18"/>
    </sheetView>
  </sheetViews>
  <sheetFormatPr defaultRowHeight="15.75" x14ac:dyDescent="0.25"/>
  <cols>
    <col min="1" max="1" width="7.25" bestFit="1" customWidth="1"/>
    <col min="2" max="2" width="4.875" bestFit="1" customWidth="1"/>
    <col min="3" max="3" width="6.75" bestFit="1" customWidth="1"/>
    <col min="4" max="4" width="12.75" bestFit="1" customWidth="1"/>
  </cols>
  <sheetData>
    <row r="1" spans="1:5" x14ac:dyDescent="0.25">
      <c r="A1" s="24" t="s">
        <v>93</v>
      </c>
      <c r="B1" s="25" t="s">
        <v>59</v>
      </c>
      <c r="C1" s="24" t="s">
        <v>45</v>
      </c>
      <c r="D1" s="21" t="s">
        <v>48</v>
      </c>
    </row>
    <row r="2" spans="1:5" x14ac:dyDescent="0.25">
      <c r="A2" s="1">
        <v>1</v>
      </c>
      <c r="B2" s="5">
        <v>1951</v>
      </c>
      <c r="C2" s="2" t="s">
        <v>46</v>
      </c>
      <c r="D2" s="6">
        <v>20000</v>
      </c>
    </row>
    <row r="3" spans="1:5" x14ac:dyDescent="0.25">
      <c r="A3" s="1">
        <v>2</v>
      </c>
      <c r="B3" s="5">
        <v>1950</v>
      </c>
      <c r="C3" s="2" t="s">
        <v>46</v>
      </c>
      <c r="D3" s="6">
        <v>98000</v>
      </c>
      <c r="E3" s="20"/>
    </row>
    <row r="4" spans="1:5" x14ac:dyDescent="0.25">
      <c r="A4" s="1">
        <v>3</v>
      </c>
      <c r="B4" s="5">
        <v>1954</v>
      </c>
      <c r="C4" s="2" t="s">
        <v>47</v>
      </c>
      <c r="D4" s="6">
        <v>65000</v>
      </c>
    </row>
    <row r="5" spans="1:5" x14ac:dyDescent="0.25">
      <c r="A5" s="1">
        <v>4</v>
      </c>
      <c r="B5" s="5">
        <v>1950</v>
      </c>
      <c r="C5" s="2" t="s">
        <v>47</v>
      </c>
      <c r="D5" s="6">
        <v>49000</v>
      </c>
    </row>
    <row r="6" spans="1:5" x14ac:dyDescent="0.25">
      <c r="A6" s="1">
        <v>5</v>
      </c>
      <c r="B6" s="5">
        <v>1955</v>
      </c>
      <c r="C6" s="1" t="s">
        <v>46</v>
      </c>
      <c r="D6" s="6">
        <v>39000</v>
      </c>
    </row>
    <row r="7" spans="1:5" x14ac:dyDescent="0.25">
      <c r="A7" s="1">
        <v>6</v>
      </c>
      <c r="B7" s="5">
        <v>1947</v>
      </c>
      <c r="C7" s="2" t="s">
        <v>47</v>
      </c>
      <c r="D7" s="6">
        <v>78000</v>
      </c>
    </row>
    <row r="8" spans="1:5" x14ac:dyDescent="0.25">
      <c r="A8" s="1">
        <v>7</v>
      </c>
      <c r="B8" s="5">
        <v>1957</v>
      </c>
      <c r="C8" s="1" t="s">
        <v>46</v>
      </c>
      <c r="D8" s="6">
        <v>28000</v>
      </c>
    </row>
    <row r="9" spans="1:5" x14ac:dyDescent="0.25">
      <c r="A9" s="1">
        <v>8</v>
      </c>
      <c r="B9" s="5">
        <v>1945</v>
      </c>
      <c r="C9" s="2" t="s">
        <v>46</v>
      </c>
      <c r="D9" s="6">
        <v>50000</v>
      </c>
    </row>
    <row r="10" spans="1:5" x14ac:dyDescent="0.25">
      <c r="A10" s="1">
        <v>9</v>
      </c>
      <c r="B10" s="5">
        <v>1960</v>
      </c>
      <c r="C10" s="1" t="s">
        <v>47</v>
      </c>
      <c r="D10" s="6">
        <v>22000</v>
      </c>
    </row>
    <row r="11" spans="1:5" x14ac:dyDescent="0.25">
      <c r="A11" s="1">
        <v>10</v>
      </c>
      <c r="B11" s="5">
        <v>1957</v>
      </c>
      <c r="C11" s="1" t="s">
        <v>47</v>
      </c>
      <c r="D11" s="6">
        <v>96000</v>
      </c>
    </row>
    <row r="12" spans="1:5" x14ac:dyDescent="0.25">
      <c r="C12" s="22"/>
    </row>
    <row r="13" spans="1:5" x14ac:dyDescent="0.25">
      <c r="C13" s="22"/>
    </row>
    <row r="14" spans="1:5" x14ac:dyDescent="0.25">
      <c r="C14" s="22"/>
    </row>
    <row r="15" spans="1:5" x14ac:dyDescent="0.25">
      <c r="C15" s="22"/>
    </row>
    <row r="16" spans="1:5" x14ac:dyDescent="0.25">
      <c r="C16" s="22"/>
    </row>
    <row r="17" spans="3:3" x14ac:dyDescent="0.25">
      <c r="C17" s="22"/>
    </row>
    <row r="18" spans="3:3" x14ac:dyDescent="0.25">
      <c r="C18" s="22"/>
    </row>
    <row r="19" spans="3:3" x14ac:dyDescent="0.25">
      <c r="C19" s="22"/>
    </row>
    <row r="20" spans="3:3" x14ac:dyDescent="0.25">
      <c r="C20" s="22"/>
    </row>
    <row r="21" spans="3:3" x14ac:dyDescent="0.25">
      <c r="C21" s="22"/>
    </row>
    <row r="22" spans="3:3" x14ac:dyDescent="0.25">
      <c r="C22" s="22"/>
    </row>
    <row r="23" spans="3:3" x14ac:dyDescent="0.25">
      <c r="C23" s="22"/>
    </row>
    <row r="24" spans="3:3" x14ac:dyDescent="0.25">
      <c r="C24" s="22"/>
    </row>
    <row r="25" spans="3:3" x14ac:dyDescent="0.25">
      <c r="C25" s="22"/>
    </row>
    <row r="26" spans="3:3" x14ac:dyDescent="0.25">
      <c r="C26" s="22"/>
    </row>
    <row r="27" spans="3:3" x14ac:dyDescent="0.25">
      <c r="C27" s="22"/>
    </row>
    <row r="28" spans="3:3" x14ac:dyDescent="0.25">
      <c r="C28" s="22"/>
    </row>
    <row r="29" spans="3:3" x14ac:dyDescent="0.25">
      <c r="C29" s="22"/>
    </row>
    <row r="30" spans="3:3" x14ac:dyDescent="0.25">
      <c r="C30" s="22"/>
    </row>
    <row r="31" spans="3:3" x14ac:dyDescent="0.25">
      <c r="C31" s="22"/>
    </row>
    <row r="32" spans="3:3" x14ac:dyDescent="0.25">
      <c r="C32" s="22"/>
    </row>
    <row r="33" spans="3:3" x14ac:dyDescent="0.25">
      <c r="C33" s="22"/>
    </row>
    <row r="34" spans="3:3" x14ac:dyDescent="0.25">
      <c r="C34" s="22"/>
    </row>
    <row r="35" spans="3:3" x14ac:dyDescent="0.25">
      <c r="C35" s="22"/>
    </row>
    <row r="36" spans="3:3" x14ac:dyDescent="0.25">
      <c r="C36" s="22"/>
    </row>
    <row r="37" spans="3:3" x14ac:dyDescent="0.25">
      <c r="C37" s="22"/>
    </row>
    <row r="38" spans="3:3" x14ac:dyDescent="0.25">
      <c r="C38" s="22"/>
    </row>
    <row r="39" spans="3:3" x14ac:dyDescent="0.25">
      <c r="C39" s="22"/>
    </row>
    <row r="40" spans="3:3" x14ac:dyDescent="0.25">
      <c r="C40" s="22"/>
    </row>
    <row r="41" spans="3:3" x14ac:dyDescent="0.25">
      <c r="C41" s="22"/>
    </row>
    <row r="42" spans="3:3" x14ac:dyDescent="0.25">
      <c r="C42" s="22"/>
    </row>
    <row r="43" spans="3:3" x14ac:dyDescent="0.25">
      <c r="C43" s="22"/>
    </row>
    <row r="44" spans="3:3" x14ac:dyDescent="0.25">
      <c r="C44" s="22"/>
    </row>
    <row r="45" spans="3:3" x14ac:dyDescent="0.25">
      <c r="C45" s="22"/>
    </row>
    <row r="46" spans="3:3" x14ac:dyDescent="0.25">
      <c r="C46" s="22"/>
    </row>
    <row r="47" spans="3:3" x14ac:dyDescent="0.25">
      <c r="C47" s="22"/>
    </row>
    <row r="48" spans="3:3" x14ac:dyDescent="0.25">
      <c r="C48" s="22"/>
    </row>
    <row r="49" spans="3:3" x14ac:dyDescent="0.25">
      <c r="C49" s="22"/>
    </row>
    <row r="50" spans="3:3" x14ac:dyDescent="0.25">
      <c r="C50" s="22"/>
    </row>
    <row r="51" spans="3:3" x14ac:dyDescent="0.25">
      <c r="C51" s="22"/>
    </row>
    <row r="52" spans="3:3" x14ac:dyDescent="0.25">
      <c r="C52" s="22"/>
    </row>
    <row r="53" spans="3:3" x14ac:dyDescent="0.25">
      <c r="C53" s="22"/>
    </row>
    <row r="54" spans="3:3" x14ac:dyDescent="0.25">
      <c r="C54" s="22"/>
    </row>
    <row r="55" spans="3:3" x14ac:dyDescent="0.25">
      <c r="C55" s="22"/>
    </row>
    <row r="56" spans="3:3" x14ac:dyDescent="0.25">
      <c r="C56" s="22"/>
    </row>
    <row r="57" spans="3:3" x14ac:dyDescent="0.25">
      <c r="C57" s="22"/>
    </row>
    <row r="58" spans="3:3" x14ac:dyDescent="0.25">
      <c r="C58" s="22"/>
    </row>
    <row r="59" spans="3:3" x14ac:dyDescent="0.25">
      <c r="C59" s="22"/>
    </row>
    <row r="60" spans="3:3" x14ac:dyDescent="0.25">
      <c r="C60" s="22"/>
    </row>
    <row r="61" spans="3:3" x14ac:dyDescent="0.25">
      <c r="C61" s="22"/>
    </row>
    <row r="62" spans="3:3" x14ac:dyDescent="0.25">
      <c r="C62" s="22"/>
    </row>
    <row r="63" spans="3:3" x14ac:dyDescent="0.25">
      <c r="C63" s="22"/>
    </row>
    <row r="64" spans="3:3" x14ac:dyDescent="0.25">
      <c r="C64" s="22"/>
    </row>
    <row r="65" spans="3:3" x14ac:dyDescent="0.25">
      <c r="C65" s="22"/>
    </row>
    <row r="66" spans="3:3" x14ac:dyDescent="0.25">
      <c r="C66" s="22"/>
    </row>
    <row r="67" spans="3:3" x14ac:dyDescent="0.25">
      <c r="C67" s="22"/>
    </row>
    <row r="68" spans="3:3" x14ac:dyDescent="0.25">
      <c r="C68" s="22"/>
    </row>
    <row r="69" spans="3:3" x14ac:dyDescent="0.25">
      <c r="C69" s="22"/>
    </row>
    <row r="70" spans="3:3" x14ac:dyDescent="0.25">
      <c r="C70" s="22"/>
    </row>
    <row r="71" spans="3:3" x14ac:dyDescent="0.25">
      <c r="C71" s="22"/>
    </row>
    <row r="72" spans="3:3" x14ac:dyDescent="0.25">
      <c r="C72" s="22"/>
    </row>
    <row r="73" spans="3:3" x14ac:dyDescent="0.25">
      <c r="C73" s="22"/>
    </row>
    <row r="74" spans="3:3" x14ac:dyDescent="0.25">
      <c r="C74" s="22"/>
    </row>
    <row r="75" spans="3:3" x14ac:dyDescent="0.25">
      <c r="C75" s="22"/>
    </row>
    <row r="76" spans="3:3" x14ac:dyDescent="0.25">
      <c r="C76" s="22"/>
    </row>
    <row r="77" spans="3:3" x14ac:dyDescent="0.25">
      <c r="C77" s="22"/>
    </row>
    <row r="78" spans="3:3" x14ac:dyDescent="0.25">
      <c r="C78" s="22"/>
    </row>
    <row r="79" spans="3:3" x14ac:dyDescent="0.25">
      <c r="C79" s="22"/>
    </row>
    <row r="80" spans="3:3" x14ac:dyDescent="0.25">
      <c r="C80" s="22"/>
    </row>
    <row r="81" spans="3:3" x14ac:dyDescent="0.25">
      <c r="C81" s="22"/>
    </row>
    <row r="82" spans="3:3" x14ac:dyDescent="0.25">
      <c r="C82" s="22"/>
    </row>
    <row r="83" spans="3:3" x14ac:dyDescent="0.25">
      <c r="C83" s="22"/>
    </row>
    <row r="84" spans="3:3" x14ac:dyDescent="0.25">
      <c r="C84" s="22"/>
    </row>
    <row r="85" spans="3:3" x14ac:dyDescent="0.25">
      <c r="C85" s="22"/>
    </row>
    <row r="86" spans="3:3" x14ac:dyDescent="0.25">
      <c r="C86" s="22"/>
    </row>
    <row r="87" spans="3:3" x14ac:dyDescent="0.25">
      <c r="C87" s="22"/>
    </row>
    <row r="88" spans="3:3" x14ac:dyDescent="0.25">
      <c r="C88" s="22"/>
    </row>
    <row r="89" spans="3:3" x14ac:dyDescent="0.25">
      <c r="C89" s="22"/>
    </row>
    <row r="90" spans="3:3" x14ac:dyDescent="0.25">
      <c r="C90" s="22"/>
    </row>
    <row r="91" spans="3:3" x14ac:dyDescent="0.25">
      <c r="C91" s="22"/>
    </row>
    <row r="92" spans="3:3" x14ac:dyDescent="0.25">
      <c r="C92" s="22"/>
    </row>
    <row r="93" spans="3:3" x14ac:dyDescent="0.25">
      <c r="C93" s="22"/>
    </row>
    <row r="94" spans="3:3" x14ac:dyDescent="0.25">
      <c r="C94" s="22"/>
    </row>
    <row r="95" spans="3:3" x14ac:dyDescent="0.25">
      <c r="C95" s="22"/>
    </row>
    <row r="96" spans="3:3" x14ac:dyDescent="0.25">
      <c r="C96" s="22"/>
    </row>
    <row r="97" spans="3:3" x14ac:dyDescent="0.25">
      <c r="C97" s="22"/>
    </row>
    <row r="98" spans="3:3" x14ac:dyDescent="0.25">
      <c r="C98" s="22"/>
    </row>
    <row r="99" spans="3:3" x14ac:dyDescent="0.25">
      <c r="C99" s="22"/>
    </row>
    <row r="100" spans="3:3" x14ac:dyDescent="0.25">
      <c r="C100" s="22"/>
    </row>
    <row r="101" spans="3:3" x14ac:dyDescent="0.25">
      <c r="C101" s="22"/>
    </row>
    <row r="102" spans="3:3" x14ac:dyDescent="0.25">
      <c r="C102" s="22"/>
    </row>
    <row r="103" spans="3:3" x14ac:dyDescent="0.25">
      <c r="C103" s="22"/>
    </row>
    <row r="104" spans="3:3" x14ac:dyDescent="0.25">
      <c r="C104" s="22"/>
    </row>
    <row r="105" spans="3:3" x14ac:dyDescent="0.25">
      <c r="C105" s="22"/>
    </row>
    <row r="106" spans="3:3" x14ac:dyDescent="0.25">
      <c r="C106" s="22"/>
    </row>
    <row r="107" spans="3:3" x14ac:dyDescent="0.25">
      <c r="C107" s="22"/>
    </row>
    <row r="108" spans="3:3" x14ac:dyDescent="0.25">
      <c r="C108" s="22"/>
    </row>
    <row r="109" spans="3:3" x14ac:dyDescent="0.25">
      <c r="C109" s="22"/>
    </row>
    <row r="110" spans="3:3" x14ac:dyDescent="0.25">
      <c r="C110" s="22"/>
    </row>
    <row r="111" spans="3:3" x14ac:dyDescent="0.25">
      <c r="C111" s="22"/>
    </row>
    <row r="112" spans="3:3" x14ac:dyDescent="0.25">
      <c r="C112" s="22"/>
    </row>
    <row r="113" spans="1:5" x14ac:dyDescent="0.25">
      <c r="C113" s="22"/>
    </row>
    <row r="114" spans="1:5" x14ac:dyDescent="0.25">
      <c r="C114" s="22"/>
    </row>
    <row r="115" spans="1:5" x14ac:dyDescent="0.25">
      <c r="C115" s="22"/>
    </row>
    <row r="116" spans="1:5" x14ac:dyDescent="0.25">
      <c r="C116" s="22"/>
    </row>
    <row r="117" spans="1:5" x14ac:dyDescent="0.25">
      <c r="C117" s="22"/>
    </row>
    <row r="118" spans="1:5" x14ac:dyDescent="0.25">
      <c r="C118" s="22"/>
    </row>
    <row r="119" spans="1:5" x14ac:dyDescent="0.25">
      <c r="C119" s="22"/>
    </row>
    <row r="120" spans="1:5" x14ac:dyDescent="0.25">
      <c r="C120" s="22"/>
    </row>
    <row r="121" spans="1:5" x14ac:dyDescent="0.25">
      <c r="C121" s="22"/>
    </row>
    <row r="122" spans="1:5" x14ac:dyDescent="0.25">
      <c r="C122" s="22"/>
    </row>
    <row r="123" spans="1:5" x14ac:dyDescent="0.25">
      <c r="C123" s="22"/>
    </row>
    <row r="124" spans="1:5" x14ac:dyDescent="0.25">
      <c r="C124" s="22"/>
    </row>
    <row r="125" spans="1:5" x14ac:dyDescent="0.25">
      <c r="C125" s="22"/>
    </row>
    <row r="127" spans="1:5" x14ac:dyDescent="0.25">
      <c r="A127" s="20"/>
      <c r="C127" s="20"/>
      <c r="D127" s="20"/>
      <c r="E127" s="20"/>
    </row>
    <row r="128" spans="1:5" x14ac:dyDescent="0.25">
      <c r="C128" s="22"/>
    </row>
    <row r="129" spans="3:3" x14ac:dyDescent="0.25">
      <c r="C129" s="22"/>
    </row>
    <row r="130" spans="3:3" x14ac:dyDescent="0.25">
      <c r="C130" s="22"/>
    </row>
    <row r="131" spans="3:3" x14ac:dyDescent="0.25">
      <c r="C131" s="22"/>
    </row>
    <row r="132" spans="3:3" x14ac:dyDescent="0.25">
      <c r="C132" s="22"/>
    </row>
    <row r="133" spans="3:3" x14ac:dyDescent="0.25">
      <c r="C133" s="22"/>
    </row>
    <row r="134" spans="3:3" x14ac:dyDescent="0.25">
      <c r="C134" s="22"/>
    </row>
    <row r="135" spans="3:3" x14ac:dyDescent="0.25">
      <c r="C135" s="22"/>
    </row>
    <row r="136" spans="3:3" x14ac:dyDescent="0.25">
      <c r="C136" s="22"/>
    </row>
    <row r="137" spans="3:3" x14ac:dyDescent="0.25">
      <c r="C137" s="22"/>
    </row>
    <row r="138" spans="3:3" x14ac:dyDescent="0.25">
      <c r="C138" s="22"/>
    </row>
    <row r="139" spans="3:3" x14ac:dyDescent="0.25">
      <c r="C139" s="22"/>
    </row>
    <row r="140" spans="3:3" x14ac:dyDescent="0.25">
      <c r="C140" s="22"/>
    </row>
    <row r="141" spans="3:3" x14ac:dyDescent="0.25">
      <c r="C141" s="22"/>
    </row>
    <row r="142" spans="3:3" x14ac:dyDescent="0.25">
      <c r="C142" s="22"/>
    </row>
    <row r="143" spans="3:3" x14ac:dyDescent="0.25">
      <c r="C143" s="22"/>
    </row>
    <row r="144" spans="3:3" x14ac:dyDescent="0.25">
      <c r="C144" s="22"/>
    </row>
    <row r="145" spans="3:3" x14ac:dyDescent="0.25">
      <c r="C145" s="22"/>
    </row>
    <row r="146" spans="3:3" x14ac:dyDescent="0.25">
      <c r="C146" s="22"/>
    </row>
    <row r="147" spans="3:3" x14ac:dyDescent="0.25">
      <c r="C147" s="22"/>
    </row>
    <row r="148" spans="3:3" x14ac:dyDescent="0.25">
      <c r="C148" s="22"/>
    </row>
    <row r="149" spans="3:3" x14ac:dyDescent="0.25">
      <c r="C149" s="22"/>
    </row>
    <row r="150" spans="3:3" x14ac:dyDescent="0.25">
      <c r="C150" s="22"/>
    </row>
    <row r="151" spans="3:3" x14ac:dyDescent="0.25">
      <c r="C151" s="22"/>
    </row>
    <row r="152" spans="3:3" x14ac:dyDescent="0.25">
      <c r="C152" s="22"/>
    </row>
    <row r="153" spans="3:3" x14ac:dyDescent="0.25">
      <c r="C153" s="22"/>
    </row>
    <row r="154" spans="3:3" x14ac:dyDescent="0.25">
      <c r="C154" s="22"/>
    </row>
    <row r="155" spans="3:3" x14ac:dyDescent="0.25">
      <c r="C155" s="22"/>
    </row>
    <row r="156" spans="3:3" x14ac:dyDescent="0.25">
      <c r="C156" s="22"/>
    </row>
    <row r="157" spans="3:3" x14ac:dyDescent="0.25">
      <c r="C157" s="22"/>
    </row>
    <row r="158" spans="3:3" x14ac:dyDescent="0.25">
      <c r="C158" s="22"/>
    </row>
    <row r="159" spans="3:3" x14ac:dyDescent="0.25">
      <c r="C159" s="22"/>
    </row>
    <row r="160" spans="3:3" x14ac:dyDescent="0.25">
      <c r="C160" s="22"/>
    </row>
    <row r="161" spans="3:3" x14ac:dyDescent="0.25">
      <c r="C161" s="22"/>
    </row>
    <row r="162" spans="3:3" x14ac:dyDescent="0.25">
      <c r="C162" s="22"/>
    </row>
    <row r="163" spans="3:3" x14ac:dyDescent="0.25">
      <c r="C163" s="22"/>
    </row>
    <row r="164" spans="3:3" x14ac:dyDescent="0.25">
      <c r="C164" s="22"/>
    </row>
    <row r="165" spans="3:3" x14ac:dyDescent="0.25">
      <c r="C165" s="22"/>
    </row>
    <row r="166" spans="3:3" x14ac:dyDescent="0.25">
      <c r="C166" s="22"/>
    </row>
    <row r="167" spans="3:3" x14ac:dyDescent="0.25">
      <c r="C167" s="22"/>
    </row>
    <row r="168" spans="3:3" x14ac:dyDescent="0.25">
      <c r="C168" s="22"/>
    </row>
    <row r="169" spans="3:3" x14ac:dyDescent="0.25">
      <c r="C169" s="22"/>
    </row>
    <row r="170" spans="3:3" x14ac:dyDescent="0.25">
      <c r="C170" s="22"/>
    </row>
    <row r="171" spans="3:3" x14ac:dyDescent="0.25">
      <c r="C171" s="22"/>
    </row>
    <row r="172" spans="3:3" x14ac:dyDescent="0.25">
      <c r="C172" s="22"/>
    </row>
    <row r="173" spans="3:3" x14ac:dyDescent="0.25">
      <c r="C173" s="22"/>
    </row>
    <row r="174" spans="3:3" x14ac:dyDescent="0.25">
      <c r="C174" s="22"/>
    </row>
    <row r="175" spans="3:3" x14ac:dyDescent="0.25">
      <c r="C175" s="22"/>
    </row>
    <row r="176" spans="3:3" x14ac:dyDescent="0.25">
      <c r="C176" s="22"/>
    </row>
    <row r="177" spans="3:3" x14ac:dyDescent="0.25">
      <c r="C177" s="22"/>
    </row>
    <row r="178" spans="3:3" x14ac:dyDescent="0.25">
      <c r="C178" s="22"/>
    </row>
    <row r="179" spans="3:3" x14ac:dyDescent="0.25">
      <c r="C179" s="22"/>
    </row>
    <row r="180" spans="3:3" x14ac:dyDescent="0.25">
      <c r="C180" s="22"/>
    </row>
    <row r="181" spans="3:3" x14ac:dyDescent="0.25">
      <c r="C181" s="22"/>
    </row>
    <row r="182" spans="3:3" x14ac:dyDescent="0.25">
      <c r="C182" s="22"/>
    </row>
    <row r="183" spans="3:3" x14ac:dyDescent="0.25">
      <c r="C183" s="22"/>
    </row>
    <row r="184" spans="3:3" x14ac:dyDescent="0.25">
      <c r="C184" s="22"/>
    </row>
    <row r="185" spans="3:3" x14ac:dyDescent="0.25">
      <c r="C185" s="22"/>
    </row>
    <row r="186" spans="3:3" x14ac:dyDescent="0.25">
      <c r="C186" s="22"/>
    </row>
    <row r="187" spans="3:3" x14ac:dyDescent="0.25">
      <c r="C187" s="22"/>
    </row>
    <row r="188" spans="3:3" x14ac:dyDescent="0.25">
      <c r="C188" s="22"/>
    </row>
    <row r="189" spans="3:3" x14ac:dyDescent="0.25">
      <c r="C189" s="22"/>
    </row>
    <row r="190" spans="3:3" x14ac:dyDescent="0.25">
      <c r="C190" s="22"/>
    </row>
    <row r="191" spans="3:3" x14ac:dyDescent="0.25">
      <c r="C191" s="22"/>
    </row>
    <row r="192" spans="3:3" x14ac:dyDescent="0.25">
      <c r="C192" s="22"/>
    </row>
    <row r="193" spans="3:3" x14ac:dyDescent="0.25">
      <c r="C193" s="22"/>
    </row>
    <row r="194" spans="3:3" x14ac:dyDescent="0.25">
      <c r="C194" s="22"/>
    </row>
    <row r="195" spans="3:3" x14ac:dyDescent="0.25">
      <c r="C195" s="22"/>
    </row>
    <row r="196" spans="3:3" x14ac:dyDescent="0.25">
      <c r="C196" s="22"/>
    </row>
    <row r="197" spans="3:3" x14ac:dyDescent="0.25">
      <c r="C197" s="22"/>
    </row>
    <row r="198" spans="3:3" x14ac:dyDescent="0.25">
      <c r="C198" s="22"/>
    </row>
    <row r="199" spans="3:3" x14ac:dyDescent="0.25">
      <c r="C199" s="22"/>
    </row>
    <row r="200" spans="3:3" x14ac:dyDescent="0.25">
      <c r="C200" s="22"/>
    </row>
    <row r="201" spans="3:3" x14ac:dyDescent="0.25">
      <c r="C201" s="22"/>
    </row>
    <row r="202" spans="3:3" x14ac:dyDescent="0.25">
      <c r="C202" s="22"/>
    </row>
    <row r="203" spans="3:3" x14ac:dyDescent="0.25">
      <c r="C203" s="22"/>
    </row>
    <row r="204" spans="3:3" x14ac:dyDescent="0.25">
      <c r="C204" s="22"/>
    </row>
    <row r="205" spans="3:3" x14ac:dyDescent="0.25">
      <c r="C205" s="22"/>
    </row>
    <row r="206" spans="3:3" x14ac:dyDescent="0.25">
      <c r="C206" s="22"/>
    </row>
    <row r="207" spans="3:3" x14ac:dyDescent="0.25">
      <c r="C207" s="22"/>
    </row>
    <row r="208" spans="3:3" x14ac:dyDescent="0.25">
      <c r="C208" s="22"/>
    </row>
    <row r="209" spans="3:3" x14ac:dyDescent="0.25">
      <c r="C209" s="22"/>
    </row>
    <row r="210" spans="3:3" x14ac:dyDescent="0.25">
      <c r="C210" s="22"/>
    </row>
    <row r="211" spans="3:3" x14ac:dyDescent="0.25">
      <c r="C211" s="22"/>
    </row>
    <row r="212" spans="3:3" x14ac:dyDescent="0.25">
      <c r="C212" s="22"/>
    </row>
    <row r="213" spans="3:3" x14ac:dyDescent="0.25">
      <c r="C213" s="22"/>
    </row>
    <row r="214" spans="3:3" x14ac:dyDescent="0.25">
      <c r="C214" s="22"/>
    </row>
    <row r="215" spans="3:3" x14ac:dyDescent="0.25">
      <c r="C215" s="22"/>
    </row>
    <row r="216" spans="3:3" x14ac:dyDescent="0.25">
      <c r="C216" s="22"/>
    </row>
    <row r="217" spans="3:3" x14ac:dyDescent="0.25">
      <c r="C217" s="22"/>
    </row>
    <row r="218" spans="3:3" x14ac:dyDescent="0.25">
      <c r="C218" s="22"/>
    </row>
    <row r="219" spans="3:3" x14ac:dyDescent="0.25">
      <c r="C219" s="22"/>
    </row>
    <row r="220" spans="3:3" x14ac:dyDescent="0.25">
      <c r="C220" s="22"/>
    </row>
    <row r="221" spans="3:3" x14ac:dyDescent="0.25">
      <c r="C221" s="22"/>
    </row>
    <row r="222" spans="3:3" x14ac:dyDescent="0.25">
      <c r="C222" s="22"/>
    </row>
    <row r="223" spans="3:3" x14ac:dyDescent="0.25">
      <c r="C223" s="22"/>
    </row>
    <row r="224" spans="3:3" x14ac:dyDescent="0.25">
      <c r="C224" s="22"/>
    </row>
    <row r="225" spans="3:3" x14ac:dyDescent="0.25">
      <c r="C225" s="22"/>
    </row>
    <row r="226" spans="3:3" x14ac:dyDescent="0.25">
      <c r="C226" s="22"/>
    </row>
    <row r="227" spans="3:3" x14ac:dyDescent="0.25">
      <c r="C227" s="22"/>
    </row>
    <row r="228" spans="3:3" x14ac:dyDescent="0.25">
      <c r="C228" s="22"/>
    </row>
    <row r="229" spans="3:3" x14ac:dyDescent="0.25">
      <c r="C229" s="22"/>
    </row>
    <row r="230" spans="3:3" x14ac:dyDescent="0.25">
      <c r="C230" s="22"/>
    </row>
    <row r="231" spans="3:3" x14ac:dyDescent="0.25">
      <c r="C231" s="22"/>
    </row>
    <row r="232" spans="3:3" x14ac:dyDescent="0.25">
      <c r="C232" s="22"/>
    </row>
    <row r="233" spans="3:3" x14ac:dyDescent="0.25">
      <c r="C233" s="22"/>
    </row>
    <row r="234" spans="3:3" x14ac:dyDescent="0.25">
      <c r="C234" s="22"/>
    </row>
    <row r="235" spans="3:3" x14ac:dyDescent="0.25">
      <c r="C235" s="22"/>
    </row>
    <row r="236" spans="3:3" x14ac:dyDescent="0.25">
      <c r="C236" s="22"/>
    </row>
    <row r="237" spans="3:3" x14ac:dyDescent="0.25">
      <c r="C237" s="22"/>
    </row>
    <row r="238" spans="3:3" x14ac:dyDescent="0.25">
      <c r="C238" s="22"/>
    </row>
    <row r="239" spans="3:3" x14ac:dyDescent="0.25">
      <c r="C239" s="22"/>
    </row>
    <row r="240" spans="3:3" x14ac:dyDescent="0.25">
      <c r="C240" s="22"/>
    </row>
    <row r="241" spans="3:3" x14ac:dyDescent="0.25">
      <c r="C241" s="22"/>
    </row>
    <row r="242" spans="3:3" x14ac:dyDescent="0.25">
      <c r="C242" s="22"/>
    </row>
    <row r="243" spans="3:3" x14ac:dyDescent="0.25">
      <c r="C243" s="22"/>
    </row>
    <row r="244" spans="3:3" x14ac:dyDescent="0.25">
      <c r="C244" s="22"/>
    </row>
    <row r="245" spans="3:3" x14ac:dyDescent="0.25">
      <c r="C245" s="22"/>
    </row>
    <row r="246" spans="3:3" x14ac:dyDescent="0.25">
      <c r="C246" s="22"/>
    </row>
    <row r="247" spans="3:3" x14ac:dyDescent="0.25">
      <c r="C247" s="22"/>
    </row>
    <row r="248" spans="3:3" x14ac:dyDescent="0.25">
      <c r="C248" s="22"/>
    </row>
    <row r="249" spans="3:3" x14ac:dyDescent="0.25">
      <c r="C249" s="2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355B3-B55E-46B4-A480-24146297F211}">
  <dimension ref="A1:M280"/>
  <sheetViews>
    <sheetView workbookViewId="0"/>
  </sheetViews>
  <sheetFormatPr defaultRowHeight="15.75" x14ac:dyDescent="0.25"/>
  <cols>
    <col min="1" max="1" width="20.125" bestFit="1" customWidth="1"/>
    <col min="2" max="2" width="40.5" customWidth="1"/>
    <col min="3" max="3" width="15.5" bestFit="1" customWidth="1"/>
    <col min="4" max="5" width="11.875" bestFit="1" customWidth="1"/>
    <col min="6" max="7" width="12.375" bestFit="1" customWidth="1"/>
    <col min="8" max="13" width="11.875" bestFit="1" customWidth="1"/>
  </cols>
  <sheetData>
    <row r="1" spans="1:7" x14ac:dyDescent="0.25">
      <c r="A1" s="21" t="s">
        <v>84</v>
      </c>
      <c r="B1" s="21" t="s">
        <v>85</v>
      </c>
      <c r="C1" s="21" t="s">
        <v>86</v>
      </c>
    </row>
    <row r="3" spans="1:7" x14ac:dyDescent="0.25">
      <c r="A3" s="20" t="s">
        <v>43</v>
      </c>
      <c r="B3" t="s">
        <v>95</v>
      </c>
      <c r="C3" s="26">
        <v>45657</v>
      </c>
    </row>
    <row r="4" spans="1:7" x14ac:dyDescent="0.25">
      <c r="A4" s="20" t="s">
        <v>94</v>
      </c>
      <c r="C4">
        <v>2085</v>
      </c>
    </row>
    <row r="5" spans="1:7" x14ac:dyDescent="0.25">
      <c r="A5" s="20" t="s">
        <v>91</v>
      </c>
      <c r="B5" t="s">
        <v>97</v>
      </c>
      <c r="C5" s="27">
        <v>1</v>
      </c>
    </row>
    <row r="6" spans="1:7" x14ac:dyDescent="0.25">
      <c r="A6" s="20"/>
      <c r="C6" s="22"/>
    </row>
    <row r="7" spans="1:7" x14ac:dyDescent="0.25">
      <c r="A7" s="20" t="s">
        <v>44</v>
      </c>
      <c r="B7" t="s">
        <v>87</v>
      </c>
      <c r="C7" s="20" t="s">
        <v>88</v>
      </c>
      <c r="D7" s="20" t="s">
        <v>2</v>
      </c>
      <c r="E7" s="20" t="s">
        <v>3</v>
      </c>
    </row>
    <row r="8" spans="1:7" x14ac:dyDescent="0.25">
      <c r="C8" s="22">
        <v>0</v>
      </c>
      <c r="D8" s="34">
        <v>1.7830000000000001E-3</v>
      </c>
      <c r="E8" s="34">
        <v>1.8010000000000001E-3</v>
      </c>
      <c r="F8" s="33"/>
      <c r="G8" s="33"/>
    </row>
    <row r="9" spans="1:7" x14ac:dyDescent="0.25">
      <c r="C9" s="22">
        <v>1</v>
      </c>
      <c r="D9" s="34">
        <v>4.46E-4</v>
      </c>
      <c r="E9" s="34">
        <v>4.4999999999999999E-4</v>
      </c>
      <c r="F9" s="33"/>
      <c r="G9" s="33"/>
    </row>
    <row r="10" spans="1:7" x14ac:dyDescent="0.25">
      <c r="C10" s="22">
        <v>2</v>
      </c>
      <c r="D10" s="34">
        <v>3.0600000000000001E-4</v>
      </c>
      <c r="E10" s="34">
        <v>2.8699999999999998E-4</v>
      </c>
      <c r="F10" s="33"/>
      <c r="G10" s="33"/>
    </row>
    <row r="11" spans="1:7" x14ac:dyDescent="0.25">
      <c r="C11" s="22">
        <v>3</v>
      </c>
      <c r="D11" s="34">
        <v>2.5399999999999999E-4</v>
      </c>
      <c r="E11" s="34">
        <v>1.9900000000000001E-4</v>
      </c>
      <c r="F11" s="33"/>
      <c r="G11" s="33"/>
    </row>
    <row r="12" spans="1:7" x14ac:dyDescent="0.25">
      <c r="C12" s="22">
        <v>4</v>
      </c>
      <c r="D12" s="34">
        <v>1.93E-4</v>
      </c>
      <c r="E12" s="34">
        <v>1.5200000000000001E-4</v>
      </c>
      <c r="F12" s="33"/>
      <c r="G12" s="33"/>
    </row>
    <row r="13" spans="1:7" x14ac:dyDescent="0.25">
      <c r="C13" s="22">
        <v>5</v>
      </c>
      <c r="D13" s="34">
        <v>1.8599999999999999E-4</v>
      </c>
      <c r="E13" s="34">
        <v>1.3899999999999999E-4</v>
      </c>
      <c r="F13" s="33"/>
      <c r="G13" s="33"/>
    </row>
    <row r="14" spans="1:7" x14ac:dyDescent="0.25">
      <c r="C14" s="22">
        <v>6</v>
      </c>
      <c r="D14" s="34">
        <v>1.84E-4</v>
      </c>
      <c r="E14" s="34">
        <v>1.2999999999999999E-4</v>
      </c>
      <c r="F14" s="33"/>
      <c r="G14" s="33"/>
    </row>
    <row r="15" spans="1:7" x14ac:dyDescent="0.25">
      <c r="C15" s="22">
        <v>7</v>
      </c>
      <c r="D15" s="34">
        <v>1.7699999999999999E-4</v>
      </c>
      <c r="E15" s="34">
        <v>1.22E-4</v>
      </c>
      <c r="F15" s="33"/>
      <c r="G15" s="33"/>
    </row>
    <row r="16" spans="1:7" x14ac:dyDescent="0.25">
      <c r="C16" s="22">
        <v>8</v>
      </c>
      <c r="D16" s="34">
        <v>1.5899999999999999E-4</v>
      </c>
      <c r="E16" s="34">
        <v>1.05E-4</v>
      </c>
      <c r="F16" s="33"/>
      <c r="G16" s="33"/>
    </row>
    <row r="17" spans="3:7" x14ac:dyDescent="0.25">
      <c r="C17" s="22">
        <v>9</v>
      </c>
      <c r="D17" s="34">
        <v>1.4300000000000001E-4</v>
      </c>
      <c r="E17" s="34">
        <v>9.7999999999999997E-5</v>
      </c>
      <c r="F17" s="33"/>
      <c r="G17" s="33"/>
    </row>
    <row r="18" spans="3:7" x14ac:dyDescent="0.25">
      <c r="C18" s="22">
        <v>10</v>
      </c>
      <c r="D18" s="34">
        <v>1.26E-4</v>
      </c>
      <c r="E18" s="34">
        <v>9.3999999999999994E-5</v>
      </c>
      <c r="F18" s="33"/>
      <c r="G18" s="33"/>
    </row>
    <row r="19" spans="3:7" x14ac:dyDescent="0.25">
      <c r="C19" s="22">
        <v>11</v>
      </c>
      <c r="D19" s="34">
        <v>1.2300000000000001E-4</v>
      </c>
      <c r="E19" s="34">
        <v>9.6000000000000002E-5</v>
      </c>
      <c r="F19" s="33"/>
      <c r="G19" s="33"/>
    </row>
    <row r="20" spans="3:7" x14ac:dyDescent="0.25">
      <c r="C20" s="22">
        <v>12</v>
      </c>
      <c r="D20" s="34">
        <v>1.47E-4</v>
      </c>
      <c r="E20" s="34">
        <v>1.05E-4</v>
      </c>
      <c r="F20" s="33"/>
      <c r="G20" s="33"/>
    </row>
    <row r="21" spans="3:7" x14ac:dyDescent="0.25">
      <c r="C21" s="22">
        <v>13</v>
      </c>
      <c r="D21" s="34">
        <v>1.8799999999999999E-4</v>
      </c>
      <c r="E21" s="34">
        <v>1.2E-4</v>
      </c>
      <c r="F21" s="33"/>
      <c r="G21" s="33"/>
    </row>
    <row r="22" spans="3:7" x14ac:dyDescent="0.25">
      <c r="C22" s="22">
        <v>14</v>
      </c>
      <c r="D22" s="34">
        <v>2.3599999999999999E-4</v>
      </c>
      <c r="E22" s="34">
        <v>1.46E-4</v>
      </c>
      <c r="F22" s="33"/>
      <c r="G22" s="33"/>
    </row>
    <row r="23" spans="3:7" x14ac:dyDescent="0.25">
      <c r="C23" s="22">
        <v>15</v>
      </c>
      <c r="D23" s="34">
        <v>2.8200000000000002E-4</v>
      </c>
      <c r="E23" s="34">
        <v>1.74E-4</v>
      </c>
      <c r="F23" s="33"/>
      <c r="G23" s="33"/>
    </row>
    <row r="24" spans="3:7" x14ac:dyDescent="0.25">
      <c r="C24" s="22">
        <v>16</v>
      </c>
      <c r="D24" s="34">
        <v>3.2499999999999999E-4</v>
      </c>
      <c r="E24" s="34">
        <v>1.9900000000000001E-4</v>
      </c>
      <c r="F24" s="33"/>
      <c r="G24" s="33"/>
    </row>
    <row r="25" spans="3:7" x14ac:dyDescent="0.25">
      <c r="C25" s="22">
        <v>17</v>
      </c>
      <c r="D25" s="34">
        <v>3.6400000000000001E-4</v>
      </c>
      <c r="E25" s="34">
        <v>2.2000000000000001E-4</v>
      </c>
      <c r="F25" s="33"/>
      <c r="G25" s="33"/>
    </row>
    <row r="26" spans="3:7" x14ac:dyDescent="0.25">
      <c r="C26" s="22">
        <v>18</v>
      </c>
      <c r="D26" s="34">
        <v>3.9899999999999999E-4</v>
      </c>
      <c r="E26" s="34">
        <v>2.34E-4</v>
      </c>
      <c r="F26" s="33"/>
      <c r="G26" s="33"/>
    </row>
    <row r="27" spans="3:7" x14ac:dyDescent="0.25">
      <c r="C27" s="22">
        <v>19</v>
      </c>
      <c r="D27" s="34">
        <v>4.2999999999999999E-4</v>
      </c>
      <c r="E27" s="34">
        <v>2.4499999999999999E-4</v>
      </c>
      <c r="F27" s="33"/>
      <c r="G27" s="33"/>
    </row>
    <row r="28" spans="3:7" x14ac:dyDescent="0.25">
      <c r="C28" s="22">
        <v>20</v>
      </c>
      <c r="D28" s="34">
        <v>4.5899999999999999E-4</v>
      </c>
      <c r="E28" s="34">
        <v>2.5300000000000002E-4</v>
      </c>
      <c r="F28" s="33"/>
      <c r="G28" s="33"/>
    </row>
    <row r="29" spans="3:7" x14ac:dyDescent="0.25">
      <c r="C29" s="22">
        <v>21</v>
      </c>
      <c r="D29" s="34">
        <v>4.9200000000000003E-4</v>
      </c>
      <c r="E29" s="34">
        <v>2.5999999999999998E-4</v>
      </c>
      <c r="F29" s="33"/>
      <c r="G29" s="33"/>
    </row>
    <row r="30" spans="3:7" x14ac:dyDescent="0.25">
      <c r="C30" s="22">
        <v>22</v>
      </c>
      <c r="D30" s="34">
        <v>5.2599999999999999E-4</v>
      </c>
      <c r="E30" s="34">
        <v>2.6600000000000001E-4</v>
      </c>
      <c r="F30" s="33"/>
      <c r="G30" s="33"/>
    </row>
    <row r="31" spans="3:7" x14ac:dyDescent="0.25">
      <c r="C31" s="22">
        <v>23</v>
      </c>
      <c r="D31" s="34">
        <v>5.6899999999999995E-4</v>
      </c>
      <c r="E31" s="34">
        <v>2.72E-4</v>
      </c>
      <c r="F31" s="33"/>
      <c r="G31" s="33"/>
    </row>
    <row r="32" spans="3:7" x14ac:dyDescent="0.25">
      <c r="C32" s="22">
        <v>24</v>
      </c>
      <c r="D32" s="34">
        <v>6.1600000000000001E-4</v>
      </c>
      <c r="E32" s="34">
        <v>2.7500000000000002E-4</v>
      </c>
      <c r="F32" s="33"/>
      <c r="G32" s="33"/>
    </row>
    <row r="33" spans="3:7" x14ac:dyDescent="0.25">
      <c r="C33" s="22">
        <v>25</v>
      </c>
      <c r="D33" s="34">
        <v>6.69E-4</v>
      </c>
      <c r="E33" s="34">
        <v>2.7700000000000001E-4</v>
      </c>
      <c r="F33" s="33"/>
      <c r="G33" s="33"/>
    </row>
    <row r="34" spans="3:7" x14ac:dyDescent="0.25">
      <c r="C34" s="22">
        <v>26</v>
      </c>
      <c r="D34" s="34">
        <v>7.2800000000000002E-4</v>
      </c>
      <c r="E34" s="34">
        <v>2.8400000000000002E-4</v>
      </c>
      <c r="F34" s="33"/>
      <c r="G34" s="33"/>
    </row>
    <row r="35" spans="3:7" x14ac:dyDescent="0.25">
      <c r="C35" s="22">
        <v>27</v>
      </c>
      <c r="D35" s="34">
        <v>7.6400000000000003E-4</v>
      </c>
      <c r="E35" s="34">
        <v>2.9E-4</v>
      </c>
      <c r="F35" s="33"/>
      <c r="G35" s="33"/>
    </row>
    <row r="36" spans="3:7" x14ac:dyDescent="0.25">
      <c r="C36" s="22">
        <v>28</v>
      </c>
      <c r="D36" s="34">
        <v>7.8899999999999999E-4</v>
      </c>
      <c r="E36" s="34">
        <v>2.9999999999999997E-4</v>
      </c>
      <c r="F36" s="33"/>
      <c r="G36" s="33"/>
    </row>
    <row r="37" spans="3:7" x14ac:dyDescent="0.25">
      <c r="C37" s="22">
        <v>29</v>
      </c>
      <c r="D37" s="34">
        <v>8.0800000000000002E-4</v>
      </c>
      <c r="E37" s="34">
        <v>3.1300000000000002E-4</v>
      </c>
      <c r="F37" s="33"/>
      <c r="G37" s="33"/>
    </row>
    <row r="38" spans="3:7" x14ac:dyDescent="0.25">
      <c r="C38" s="22">
        <v>30</v>
      </c>
      <c r="D38" s="34">
        <v>8.2399999999999997E-4</v>
      </c>
      <c r="E38" s="34">
        <v>3.3300000000000002E-4</v>
      </c>
      <c r="F38" s="33"/>
      <c r="G38" s="33"/>
    </row>
    <row r="39" spans="3:7" x14ac:dyDescent="0.25">
      <c r="C39" s="22">
        <v>31</v>
      </c>
      <c r="D39" s="34">
        <v>8.34E-4</v>
      </c>
      <c r="E39" s="34">
        <v>3.57E-4</v>
      </c>
      <c r="F39" s="33"/>
      <c r="G39" s="33"/>
    </row>
    <row r="40" spans="3:7" x14ac:dyDescent="0.25">
      <c r="C40" s="22">
        <v>32</v>
      </c>
      <c r="D40" s="34">
        <v>8.3799999999999999E-4</v>
      </c>
      <c r="E40" s="34">
        <v>3.7500000000000001E-4</v>
      </c>
      <c r="F40" s="33"/>
      <c r="G40" s="33"/>
    </row>
    <row r="41" spans="3:7" x14ac:dyDescent="0.25">
      <c r="C41" s="22">
        <v>33</v>
      </c>
      <c r="D41" s="34">
        <v>8.2799999999999996E-4</v>
      </c>
      <c r="E41" s="34">
        <v>3.8999999999999999E-4</v>
      </c>
      <c r="F41" s="33"/>
      <c r="G41" s="33"/>
    </row>
    <row r="42" spans="3:7" x14ac:dyDescent="0.25">
      <c r="C42" s="22">
        <v>34</v>
      </c>
      <c r="D42" s="34">
        <v>8.0800000000000002E-4</v>
      </c>
      <c r="E42" s="34">
        <v>4.0499999999999998E-4</v>
      </c>
      <c r="F42" s="33"/>
      <c r="G42" s="33"/>
    </row>
    <row r="43" spans="3:7" x14ac:dyDescent="0.25">
      <c r="C43" s="22">
        <v>35</v>
      </c>
      <c r="D43" s="34">
        <v>7.8899999999999999E-4</v>
      </c>
      <c r="E43" s="34">
        <v>4.2400000000000001E-4</v>
      </c>
      <c r="F43" s="33"/>
      <c r="G43" s="33"/>
    </row>
    <row r="44" spans="3:7" x14ac:dyDescent="0.25">
      <c r="C44" s="22">
        <v>36</v>
      </c>
      <c r="D44" s="34">
        <v>7.8299999999999995E-4</v>
      </c>
      <c r="E44" s="34">
        <v>4.4700000000000002E-4</v>
      </c>
      <c r="F44" s="33"/>
      <c r="G44" s="33"/>
    </row>
    <row r="45" spans="3:7" x14ac:dyDescent="0.25">
      <c r="C45" s="22">
        <v>37</v>
      </c>
      <c r="D45" s="34">
        <v>8.0000000000000004E-4</v>
      </c>
      <c r="E45" s="34">
        <v>4.7600000000000002E-4</v>
      </c>
      <c r="F45" s="33"/>
      <c r="G45" s="33"/>
    </row>
    <row r="46" spans="3:7" x14ac:dyDescent="0.25">
      <c r="C46" s="22">
        <v>38</v>
      </c>
      <c r="D46" s="34">
        <v>8.3699999999999996E-4</v>
      </c>
      <c r="E46" s="34">
        <v>5.1400000000000003E-4</v>
      </c>
      <c r="F46" s="33"/>
      <c r="G46" s="33"/>
    </row>
    <row r="47" spans="3:7" x14ac:dyDescent="0.25">
      <c r="C47" s="22">
        <v>39</v>
      </c>
      <c r="D47" s="34">
        <v>8.8900000000000003E-4</v>
      </c>
      <c r="E47" s="34">
        <v>5.5999999999999995E-4</v>
      </c>
      <c r="F47" s="33"/>
      <c r="G47" s="33"/>
    </row>
    <row r="48" spans="3:7" x14ac:dyDescent="0.25">
      <c r="C48" s="22">
        <v>40</v>
      </c>
      <c r="D48" s="34">
        <v>9.5500000000000001E-4</v>
      </c>
      <c r="E48" s="34">
        <v>6.1300000000000005E-4</v>
      </c>
      <c r="F48" s="33"/>
      <c r="G48" s="33"/>
    </row>
    <row r="49" spans="3:7" x14ac:dyDescent="0.25">
      <c r="C49" s="22">
        <v>41</v>
      </c>
      <c r="D49" s="34">
        <v>1.029E-3</v>
      </c>
      <c r="E49" s="34">
        <v>6.6699999999999995E-4</v>
      </c>
      <c r="F49" s="33"/>
      <c r="G49" s="33"/>
    </row>
    <row r="50" spans="3:7" x14ac:dyDescent="0.25">
      <c r="C50" s="22">
        <v>42</v>
      </c>
      <c r="D50" s="34">
        <v>1.1100000000000001E-3</v>
      </c>
      <c r="E50" s="34">
        <v>7.2300000000000001E-4</v>
      </c>
      <c r="F50" s="33"/>
      <c r="G50" s="33"/>
    </row>
    <row r="51" spans="3:7" x14ac:dyDescent="0.25">
      <c r="C51" s="22">
        <v>43</v>
      </c>
      <c r="D51" s="34">
        <v>1.188E-3</v>
      </c>
      <c r="E51" s="34">
        <v>7.7399999999999995E-4</v>
      </c>
      <c r="F51" s="33"/>
      <c r="G51" s="33"/>
    </row>
    <row r="52" spans="3:7" x14ac:dyDescent="0.25">
      <c r="C52" s="22">
        <v>44</v>
      </c>
      <c r="D52" s="34">
        <v>1.268E-3</v>
      </c>
      <c r="E52" s="34">
        <v>8.2299999999999995E-4</v>
      </c>
      <c r="F52" s="33"/>
      <c r="G52" s="33"/>
    </row>
    <row r="53" spans="3:7" x14ac:dyDescent="0.25">
      <c r="C53" s="22">
        <v>45</v>
      </c>
      <c r="D53" s="34">
        <v>1.3550000000000001E-3</v>
      </c>
      <c r="E53" s="34">
        <v>8.6600000000000002E-4</v>
      </c>
      <c r="F53" s="33"/>
      <c r="G53" s="33"/>
    </row>
    <row r="54" spans="3:7" x14ac:dyDescent="0.25">
      <c r="C54" s="22">
        <v>46</v>
      </c>
      <c r="D54" s="34">
        <v>1.464E-3</v>
      </c>
      <c r="E54" s="34">
        <v>9.1699999999999995E-4</v>
      </c>
      <c r="F54" s="33"/>
      <c r="G54" s="33"/>
    </row>
    <row r="55" spans="3:7" x14ac:dyDescent="0.25">
      <c r="C55" s="22">
        <v>47</v>
      </c>
      <c r="D55" s="34">
        <v>1.6149999999999999E-3</v>
      </c>
      <c r="E55" s="34">
        <v>9.8299999999999993E-4</v>
      </c>
      <c r="F55" s="33"/>
      <c r="G55" s="33"/>
    </row>
    <row r="56" spans="3:7" x14ac:dyDescent="0.25">
      <c r="C56" s="22">
        <v>48</v>
      </c>
      <c r="D56" s="34">
        <v>1.8079999999999999E-3</v>
      </c>
      <c r="E56" s="34">
        <v>1.072E-3</v>
      </c>
      <c r="F56" s="33"/>
      <c r="G56" s="33"/>
    </row>
    <row r="57" spans="3:7" x14ac:dyDescent="0.25">
      <c r="C57" s="22">
        <v>49</v>
      </c>
      <c r="D57" s="34">
        <v>2.032E-3</v>
      </c>
      <c r="E57" s="34">
        <v>1.168E-3</v>
      </c>
      <c r="F57" s="33"/>
      <c r="G57" s="33"/>
    </row>
    <row r="58" spans="3:7" x14ac:dyDescent="0.25">
      <c r="C58" s="22">
        <v>50</v>
      </c>
      <c r="D58" s="34">
        <v>2.2850000000000001E-3</v>
      </c>
      <c r="E58" s="34">
        <v>1.2899999999999999E-3</v>
      </c>
      <c r="F58" s="33"/>
      <c r="G58" s="33"/>
    </row>
    <row r="59" spans="3:7" x14ac:dyDescent="0.25">
      <c r="C59" s="22">
        <v>51</v>
      </c>
      <c r="D59" s="34">
        <v>2.5569999999999998E-3</v>
      </c>
      <c r="E59" s="34">
        <v>1.4530000000000001E-3</v>
      </c>
      <c r="F59" s="33"/>
      <c r="G59" s="33"/>
    </row>
    <row r="60" spans="3:7" x14ac:dyDescent="0.25">
      <c r="C60" s="22">
        <v>52</v>
      </c>
      <c r="D60" s="34">
        <v>2.8279999999999998E-3</v>
      </c>
      <c r="E60" s="34">
        <v>1.622E-3</v>
      </c>
      <c r="F60" s="33"/>
      <c r="G60" s="33"/>
    </row>
    <row r="61" spans="3:7" x14ac:dyDescent="0.25">
      <c r="C61" s="22">
        <v>53</v>
      </c>
      <c r="D61" s="34">
        <v>3.088E-3</v>
      </c>
      <c r="E61" s="34">
        <v>1.792E-3</v>
      </c>
      <c r="F61" s="33"/>
      <c r="G61" s="33"/>
    </row>
    <row r="62" spans="3:7" x14ac:dyDescent="0.25">
      <c r="C62" s="22">
        <v>54</v>
      </c>
      <c r="D62" s="34">
        <v>3.3449999999999999E-3</v>
      </c>
      <c r="E62" s="34">
        <v>1.9719999999999998E-3</v>
      </c>
      <c r="F62" s="33"/>
      <c r="G62" s="33"/>
    </row>
    <row r="63" spans="3:7" x14ac:dyDescent="0.25">
      <c r="C63" s="22">
        <v>55</v>
      </c>
      <c r="D63" s="34">
        <v>3.6159999999999999E-3</v>
      </c>
      <c r="E63" s="34">
        <v>2.166E-3</v>
      </c>
      <c r="F63" s="33"/>
      <c r="G63" s="33"/>
    </row>
    <row r="64" spans="3:7" x14ac:dyDescent="0.25">
      <c r="C64" s="22">
        <v>56</v>
      </c>
      <c r="D64" s="34">
        <v>3.9220000000000001E-3</v>
      </c>
      <c r="E64" s="34">
        <v>2.3930000000000002E-3</v>
      </c>
      <c r="F64" s="33"/>
      <c r="G64" s="33"/>
    </row>
    <row r="65" spans="3:7" x14ac:dyDescent="0.25">
      <c r="C65" s="22">
        <v>57</v>
      </c>
      <c r="D65" s="34">
        <v>4.2719999999999998E-3</v>
      </c>
      <c r="E65" s="34">
        <v>2.666E-3</v>
      </c>
      <c r="F65" s="33"/>
      <c r="G65" s="33"/>
    </row>
    <row r="66" spans="3:7" x14ac:dyDescent="0.25">
      <c r="C66" s="22">
        <v>58</v>
      </c>
      <c r="D66" s="34">
        <v>4.6810000000000003E-3</v>
      </c>
      <c r="E66" s="34">
        <v>3.0000000000000001E-3</v>
      </c>
      <c r="F66" s="33"/>
      <c r="G66" s="33"/>
    </row>
    <row r="67" spans="3:7" x14ac:dyDescent="0.25">
      <c r="C67" s="22">
        <v>59</v>
      </c>
      <c r="D67" s="34">
        <v>5.1460000000000004E-3</v>
      </c>
      <c r="E67" s="34">
        <v>3.3930000000000002E-3</v>
      </c>
      <c r="F67" s="33"/>
      <c r="G67" s="33"/>
    </row>
    <row r="68" spans="3:7" x14ac:dyDescent="0.25">
      <c r="C68" s="22">
        <v>60</v>
      </c>
      <c r="D68" s="34">
        <v>5.6620000000000004E-3</v>
      </c>
      <c r="E68" s="34">
        <v>3.8440000000000002E-3</v>
      </c>
      <c r="F68" s="33"/>
      <c r="G68" s="33"/>
    </row>
    <row r="69" spans="3:7" x14ac:dyDescent="0.25">
      <c r="C69" s="22">
        <v>61</v>
      </c>
      <c r="D69" s="34">
        <v>6.2370000000000004E-3</v>
      </c>
      <c r="E69" s="34">
        <v>4.352E-3</v>
      </c>
      <c r="F69" s="33"/>
      <c r="G69" s="33"/>
    </row>
    <row r="70" spans="3:7" x14ac:dyDescent="0.25">
      <c r="C70" s="22">
        <v>62</v>
      </c>
      <c r="D70" s="34">
        <v>6.8539999999999998E-3</v>
      </c>
      <c r="E70" s="34">
        <v>4.8989999999999997E-3</v>
      </c>
      <c r="F70" s="33"/>
      <c r="G70" s="33"/>
    </row>
    <row r="71" spans="3:7" x14ac:dyDescent="0.25">
      <c r="C71" s="22">
        <v>63</v>
      </c>
      <c r="D71" s="34">
        <v>7.5100000000000002E-3</v>
      </c>
      <c r="E71" s="34">
        <v>5.4819999999999999E-3</v>
      </c>
      <c r="F71" s="33"/>
      <c r="G71" s="33"/>
    </row>
    <row r="72" spans="3:7" x14ac:dyDescent="0.25">
      <c r="C72" s="22">
        <v>64</v>
      </c>
      <c r="D72" s="34">
        <v>8.2199999999999999E-3</v>
      </c>
      <c r="E72" s="34">
        <v>6.1180000000000002E-3</v>
      </c>
      <c r="F72" s="33"/>
      <c r="G72" s="33"/>
    </row>
    <row r="73" spans="3:7" x14ac:dyDescent="0.25">
      <c r="C73" s="22">
        <v>65</v>
      </c>
      <c r="D73" s="34">
        <v>9.0069999999999994E-3</v>
      </c>
      <c r="E73" s="34">
        <v>6.829E-3</v>
      </c>
      <c r="F73" s="33"/>
      <c r="G73" s="33"/>
    </row>
    <row r="74" spans="3:7" x14ac:dyDescent="0.25">
      <c r="C74" s="22">
        <v>66</v>
      </c>
      <c r="D74" s="34">
        <v>9.4970000000000002E-3</v>
      </c>
      <c r="E74" s="34">
        <v>7.2789999999999999E-3</v>
      </c>
      <c r="F74" s="33"/>
      <c r="G74" s="33"/>
    </row>
    <row r="75" spans="3:7" x14ac:dyDescent="0.25">
      <c r="C75" s="22">
        <v>67</v>
      </c>
      <c r="D75" s="34">
        <v>1.0085E-2</v>
      </c>
      <c r="E75" s="34">
        <v>7.8209999999999998E-3</v>
      </c>
      <c r="F75" s="33"/>
      <c r="G75" s="33"/>
    </row>
    <row r="76" spans="3:7" x14ac:dyDescent="0.25">
      <c r="C76" s="22">
        <v>68</v>
      </c>
      <c r="D76" s="34">
        <v>1.0787E-2</v>
      </c>
      <c r="E76" s="34">
        <v>8.4749999999999999E-3</v>
      </c>
      <c r="F76" s="33"/>
      <c r="G76" s="33"/>
    </row>
    <row r="77" spans="3:7" x14ac:dyDescent="0.25">
      <c r="C77" s="22">
        <v>69</v>
      </c>
      <c r="D77" s="34">
        <v>1.1625E-2</v>
      </c>
      <c r="E77" s="34">
        <v>9.2339999999999992E-3</v>
      </c>
      <c r="F77" s="33"/>
      <c r="G77" s="33"/>
    </row>
    <row r="78" spans="3:7" x14ac:dyDescent="0.25">
      <c r="C78" s="22">
        <v>70</v>
      </c>
      <c r="D78" s="34">
        <v>1.2619E-2</v>
      </c>
      <c r="E78" s="34">
        <v>1.0083E-2</v>
      </c>
      <c r="F78" s="33"/>
      <c r="G78" s="33"/>
    </row>
    <row r="79" spans="3:7" x14ac:dyDescent="0.25">
      <c r="C79" s="22">
        <v>71</v>
      </c>
      <c r="D79" s="34">
        <v>1.3798E-2</v>
      </c>
      <c r="E79" s="34">
        <v>1.1011E-2</v>
      </c>
      <c r="F79" s="33"/>
      <c r="G79" s="33"/>
    </row>
    <row r="80" spans="3:7" x14ac:dyDescent="0.25">
      <c r="C80" s="22">
        <v>72</v>
      </c>
      <c r="D80" s="34">
        <v>1.5195E-2</v>
      </c>
      <c r="E80" s="34">
        <v>1.2030000000000001E-2</v>
      </c>
      <c r="F80" s="33"/>
      <c r="G80" s="33"/>
    </row>
    <row r="81" spans="3:7" x14ac:dyDescent="0.25">
      <c r="C81" s="22">
        <v>73</v>
      </c>
      <c r="D81" s="34">
        <v>1.6833999999999998E-2</v>
      </c>
      <c r="E81" s="34">
        <v>1.3154000000000001E-2</v>
      </c>
      <c r="F81" s="33"/>
      <c r="G81" s="33"/>
    </row>
    <row r="82" spans="3:7" x14ac:dyDescent="0.25">
      <c r="C82" s="22">
        <v>74</v>
      </c>
      <c r="D82" s="34">
        <v>1.8733E-2</v>
      </c>
      <c r="E82" s="34">
        <v>1.4415000000000001E-2</v>
      </c>
      <c r="F82" s="33"/>
      <c r="G82" s="33"/>
    </row>
    <row r="83" spans="3:7" x14ac:dyDescent="0.25">
      <c r="C83" s="22">
        <v>75</v>
      </c>
      <c r="D83" s="34">
        <v>2.0905E-2</v>
      </c>
      <c r="E83" s="34">
        <v>1.5869000000000001E-2</v>
      </c>
      <c r="F83" s="33"/>
      <c r="G83" s="33"/>
    </row>
    <row r="84" spans="3:7" x14ac:dyDescent="0.25">
      <c r="C84" s="22">
        <v>76</v>
      </c>
      <c r="D84" s="34">
        <v>2.3366999999999999E-2</v>
      </c>
      <c r="E84" s="34">
        <v>1.7555000000000001E-2</v>
      </c>
      <c r="F84" s="33"/>
      <c r="G84" s="33"/>
    </row>
    <row r="85" spans="3:7" x14ac:dyDescent="0.25">
      <c r="C85" s="22">
        <v>77</v>
      </c>
      <c r="D85" s="34">
        <v>2.6155000000000001E-2</v>
      </c>
      <c r="E85" s="34">
        <v>1.95E-2</v>
      </c>
      <c r="F85" s="33"/>
      <c r="G85" s="33"/>
    </row>
    <row r="86" spans="3:7" x14ac:dyDescent="0.25">
      <c r="C86" s="22">
        <v>78</v>
      </c>
      <c r="D86" s="34">
        <v>2.9305999999999999E-2</v>
      </c>
      <c r="E86" s="34">
        <v>2.1758E-2</v>
      </c>
      <c r="F86" s="33"/>
      <c r="G86" s="33"/>
    </row>
    <row r="87" spans="3:7" x14ac:dyDescent="0.25">
      <c r="C87" s="22">
        <v>79</v>
      </c>
      <c r="D87" s="34">
        <v>3.2857999999999998E-2</v>
      </c>
      <c r="E87" s="34">
        <v>2.4412E-2</v>
      </c>
      <c r="F87" s="33"/>
      <c r="G87" s="33"/>
    </row>
    <row r="88" spans="3:7" x14ac:dyDescent="0.25">
      <c r="C88" s="22">
        <v>80</v>
      </c>
      <c r="D88" s="34">
        <v>3.6927000000000001E-2</v>
      </c>
      <c r="E88" s="34">
        <v>2.7578999999999999E-2</v>
      </c>
      <c r="F88" s="33"/>
      <c r="G88" s="33"/>
    </row>
    <row r="89" spans="3:7" x14ac:dyDescent="0.25">
      <c r="C89" s="22">
        <v>81</v>
      </c>
      <c r="D89" s="34">
        <v>4.1702999999999997E-2</v>
      </c>
      <c r="E89" s="34">
        <v>3.1501000000000001E-2</v>
      </c>
      <c r="F89" s="33"/>
      <c r="G89" s="33"/>
    </row>
    <row r="90" spans="3:7" x14ac:dyDescent="0.25">
      <c r="C90" s="22">
        <v>82</v>
      </c>
      <c r="D90" s="34">
        <v>4.6956999999999999E-2</v>
      </c>
      <c r="E90" s="34">
        <v>3.6122000000000001E-2</v>
      </c>
      <c r="F90" s="33"/>
      <c r="G90" s="33"/>
    </row>
    <row r="91" spans="3:7" x14ac:dyDescent="0.25">
      <c r="C91" s="22">
        <v>83</v>
      </c>
      <c r="D91" s="34">
        <v>5.2713000000000003E-2</v>
      </c>
      <c r="E91" s="34">
        <v>4.1477E-2</v>
      </c>
      <c r="F91" s="33"/>
      <c r="G91" s="33"/>
    </row>
    <row r="92" spans="3:7" x14ac:dyDescent="0.25">
      <c r="C92" s="22">
        <v>84</v>
      </c>
      <c r="D92" s="34">
        <v>5.9147999999999999E-2</v>
      </c>
      <c r="E92" s="34">
        <v>4.7588999999999999E-2</v>
      </c>
      <c r="F92" s="33"/>
      <c r="G92" s="33"/>
    </row>
    <row r="93" spans="3:7" x14ac:dyDescent="0.25">
      <c r="C93" s="22">
        <v>85</v>
      </c>
      <c r="D93" s="34">
        <v>6.6504999999999995E-2</v>
      </c>
      <c r="E93" s="34">
        <v>5.4441000000000003E-2</v>
      </c>
      <c r="F93" s="33"/>
      <c r="G93" s="33"/>
    </row>
    <row r="94" spans="3:7" x14ac:dyDescent="0.25">
      <c r="C94" s="22">
        <v>86</v>
      </c>
      <c r="D94" s="34">
        <v>7.5014999999999998E-2</v>
      </c>
      <c r="E94" s="34">
        <v>6.1971999999999999E-2</v>
      </c>
      <c r="F94" s="33"/>
      <c r="G94" s="33"/>
    </row>
    <row r="95" spans="3:7" x14ac:dyDescent="0.25">
      <c r="C95" s="22">
        <v>87</v>
      </c>
      <c r="D95" s="34">
        <v>8.4822999999999996E-2</v>
      </c>
      <c r="E95" s="34">
        <v>7.0154999999999995E-2</v>
      </c>
      <c r="F95" s="33"/>
      <c r="G95" s="33"/>
    </row>
    <row r="96" spans="3:7" x14ac:dyDescent="0.25">
      <c r="C96" s="22">
        <v>88</v>
      </c>
      <c r="D96" s="34">
        <v>9.5987000000000003E-2</v>
      </c>
      <c r="E96" s="34">
        <v>7.8963000000000005E-2</v>
      </c>
      <c r="F96" s="33"/>
      <c r="G96" s="33"/>
    </row>
    <row r="97" spans="3:7" x14ac:dyDescent="0.25">
      <c r="C97" s="22">
        <v>89</v>
      </c>
      <c r="D97" s="34">
        <v>0.108482</v>
      </c>
      <c r="E97" s="34">
        <v>8.8335999999999998E-2</v>
      </c>
      <c r="F97" s="33"/>
      <c r="G97" s="33"/>
    </row>
    <row r="98" spans="3:7" x14ac:dyDescent="0.25">
      <c r="C98" s="22">
        <v>90</v>
      </c>
      <c r="D98" s="34">
        <v>0.122214</v>
      </c>
      <c r="E98" s="34">
        <v>9.8197000000000007E-2</v>
      </c>
      <c r="F98" s="33"/>
      <c r="G98" s="33"/>
    </row>
    <row r="99" spans="3:7" x14ac:dyDescent="0.25">
      <c r="C99" s="22">
        <v>91</v>
      </c>
      <c r="D99" s="34">
        <v>0.136799</v>
      </c>
      <c r="E99" s="34">
        <v>0.108323</v>
      </c>
      <c r="F99" s="33"/>
      <c r="G99" s="33"/>
    </row>
    <row r="100" spans="3:7" x14ac:dyDescent="0.25">
      <c r="C100" s="22">
        <v>92</v>
      </c>
      <c r="D100" s="34">
        <v>0.15240899999999999</v>
      </c>
      <c r="E100" s="34">
        <v>0.119188</v>
      </c>
      <c r="F100" s="33"/>
      <c r="G100" s="33"/>
    </row>
    <row r="101" spans="3:7" x14ac:dyDescent="0.25">
      <c r="C101" s="22">
        <v>93</v>
      </c>
      <c r="D101" s="34">
        <v>0.16907800000000001</v>
      </c>
      <c r="E101" s="34">
        <v>0.13133400000000001</v>
      </c>
      <c r="F101" s="33"/>
      <c r="G101" s="33"/>
    </row>
    <row r="102" spans="3:7" x14ac:dyDescent="0.25">
      <c r="C102" s="22">
        <v>94</v>
      </c>
      <c r="D102" s="34">
        <v>0.18688199999999999</v>
      </c>
      <c r="E102" s="34">
        <v>0.14552100000000001</v>
      </c>
      <c r="F102" s="33"/>
      <c r="G102" s="33"/>
    </row>
    <row r="103" spans="3:7" x14ac:dyDescent="0.25">
      <c r="C103" s="22">
        <v>95</v>
      </c>
      <c r="D103" s="34">
        <v>0.205844</v>
      </c>
      <c r="E103" s="34">
        <v>0.16272200000000001</v>
      </c>
      <c r="F103" s="33"/>
      <c r="G103" s="33"/>
    </row>
    <row r="104" spans="3:7" x14ac:dyDescent="0.25">
      <c r="C104" s="22">
        <v>96</v>
      </c>
      <c r="D104" s="34">
        <v>0.219247</v>
      </c>
      <c r="E104" s="34">
        <v>0.18212</v>
      </c>
      <c r="F104" s="33"/>
      <c r="G104" s="33"/>
    </row>
    <row r="105" spans="3:7" x14ac:dyDescent="0.25">
      <c r="C105" s="22">
        <v>97</v>
      </c>
      <c r="D105" s="34">
        <v>0.23861199999999999</v>
      </c>
      <c r="E105" s="34">
        <v>0.19966100000000001</v>
      </c>
      <c r="F105" s="33"/>
      <c r="G105" s="33"/>
    </row>
    <row r="106" spans="3:7" x14ac:dyDescent="0.25">
      <c r="C106" s="22">
        <v>98</v>
      </c>
      <c r="D106" s="34">
        <v>0.25834099999999999</v>
      </c>
      <c r="E106" s="34">
        <v>0.217946</v>
      </c>
      <c r="F106" s="33"/>
      <c r="G106" s="33"/>
    </row>
    <row r="107" spans="3:7" x14ac:dyDescent="0.25">
      <c r="C107" s="22">
        <v>99</v>
      </c>
      <c r="D107" s="34">
        <v>0.27821899999999999</v>
      </c>
      <c r="E107" s="34">
        <v>0.23683399999999999</v>
      </c>
      <c r="F107" s="33"/>
      <c r="G107" s="33"/>
    </row>
    <row r="108" spans="3:7" x14ac:dyDescent="0.25">
      <c r="C108" s="22">
        <v>100</v>
      </c>
      <c r="D108" s="34">
        <v>0.298452</v>
      </c>
      <c r="E108" s="34">
        <v>0.256357</v>
      </c>
      <c r="F108" s="33"/>
      <c r="G108" s="33"/>
    </row>
    <row r="109" spans="3:7" x14ac:dyDescent="0.25">
      <c r="C109" s="22">
        <v>101</v>
      </c>
      <c r="D109" s="34">
        <v>0.32361000000000001</v>
      </c>
      <c r="E109" s="34">
        <v>0.283802</v>
      </c>
      <c r="F109" s="33"/>
      <c r="G109" s="33"/>
    </row>
    <row r="110" spans="3:7" x14ac:dyDescent="0.25">
      <c r="C110" s="22">
        <v>102</v>
      </c>
      <c r="D110" s="34">
        <v>0.34419100000000002</v>
      </c>
      <c r="E110" s="34">
        <v>0.30471599999999999</v>
      </c>
      <c r="F110" s="33"/>
      <c r="G110" s="33"/>
    </row>
    <row r="111" spans="3:7" x14ac:dyDescent="0.25">
      <c r="C111" s="22">
        <v>103</v>
      </c>
      <c r="D111" s="34">
        <v>0.36463299999999998</v>
      </c>
      <c r="E111" s="34">
        <v>0.32581900000000003</v>
      </c>
      <c r="F111" s="33"/>
      <c r="G111" s="33"/>
    </row>
    <row r="112" spans="3:7" x14ac:dyDescent="0.25">
      <c r="C112" s="22">
        <v>104</v>
      </c>
      <c r="D112" s="34">
        <v>0.38478299999999999</v>
      </c>
      <c r="E112" s="34">
        <v>0.34693600000000002</v>
      </c>
      <c r="F112" s="33"/>
      <c r="G112" s="33"/>
    </row>
    <row r="113" spans="3:7" x14ac:dyDescent="0.25">
      <c r="C113" s="22">
        <v>105</v>
      </c>
      <c r="D113" s="34">
        <v>0.4</v>
      </c>
      <c r="E113" s="34">
        <v>0.367898</v>
      </c>
      <c r="F113" s="33"/>
      <c r="G113" s="33"/>
    </row>
    <row r="114" spans="3:7" x14ac:dyDescent="0.25">
      <c r="C114" s="22">
        <v>106</v>
      </c>
      <c r="D114" s="34">
        <v>0.4</v>
      </c>
      <c r="E114" s="34">
        <v>0.38760699999999998</v>
      </c>
      <c r="F114" s="33"/>
      <c r="G114" s="33"/>
    </row>
    <row r="115" spans="3:7" x14ac:dyDescent="0.25">
      <c r="C115" s="22">
        <v>107</v>
      </c>
      <c r="D115" s="34">
        <v>0.4</v>
      </c>
      <c r="E115" s="34">
        <v>0.4</v>
      </c>
      <c r="F115" s="33"/>
      <c r="G115" s="33"/>
    </row>
    <row r="116" spans="3:7" x14ac:dyDescent="0.25">
      <c r="C116" s="22">
        <v>108</v>
      </c>
      <c r="D116" s="34">
        <v>0.4</v>
      </c>
      <c r="E116" s="34">
        <v>0.4</v>
      </c>
      <c r="F116" s="33"/>
      <c r="G116" s="33"/>
    </row>
    <row r="117" spans="3:7" x14ac:dyDescent="0.25">
      <c r="C117" s="22">
        <v>109</v>
      </c>
      <c r="D117" s="34">
        <v>0.4</v>
      </c>
      <c r="E117" s="34">
        <v>0.4</v>
      </c>
      <c r="F117" s="33"/>
      <c r="G117" s="33"/>
    </row>
    <row r="118" spans="3:7" x14ac:dyDescent="0.25">
      <c r="C118" s="22">
        <v>110</v>
      </c>
      <c r="D118" s="34">
        <v>0.4</v>
      </c>
      <c r="E118" s="34">
        <v>0.4</v>
      </c>
      <c r="F118" s="33"/>
      <c r="G118" s="33"/>
    </row>
    <row r="119" spans="3:7" x14ac:dyDescent="0.25">
      <c r="C119" s="22">
        <v>111</v>
      </c>
      <c r="D119" s="34">
        <v>0.4</v>
      </c>
      <c r="E119" s="34">
        <v>0.4</v>
      </c>
      <c r="F119" s="33"/>
      <c r="G119" s="33"/>
    </row>
    <row r="120" spans="3:7" x14ac:dyDescent="0.25">
      <c r="C120" s="22">
        <v>112</v>
      </c>
      <c r="D120" s="34">
        <v>0.4</v>
      </c>
      <c r="E120" s="34">
        <v>0.4</v>
      </c>
      <c r="F120" s="33"/>
      <c r="G120" s="33"/>
    </row>
    <row r="121" spans="3:7" x14ac:dyDescent="0.25">
      <c r="C121" s="22">
        <v>113</v>
      </c>
      <c r="D121" s="34">
        <v>0.4</v>
      </c>
      <c r="E121" s="34">
        <v>0.4</v>
      </c>
      <c r="F121" s="33"/>
      <c r="G121" s="33"/>
    </row>
    <row r="122" spans="3:7" x14ac:dyDescent="0.25">
      <c r="C122" s="22">
        <v>114</v>
      </c>
      <c r="D122" s="34">
        <v>0.4</v>
      </c>
      <c r="E122" s="34">
        <v>0.4</v>
      </c>
      <c r="F122" s="33"/>
      <c r="G122" s="33"/>
    </row>
    <row r="123" spans="3:7" x14ac:dyDescent="0.25">
      <c r="C123" s="22">
        <v>115</v>
      </c>
      <c r="D123" s="34">
        <v>0.4</v>
      </c>
      <c r="E123" s="34">
        <v>0.4</v>
      </c>
      <c r="F123" s="33"/>
      <c r="G123" s="33"/>
    </row>
    <row r="124" spans="3:7" x14ac:dyDescent="0.25">
      <c r="C124" s="22">
        <v>116</v>
      </c>
      <c r="D124" s="34">
        <v>0.4</v>
      </c>
      <c r="E124" s="34">
        <v>0.4</v>
      </c>
      <c r="F124" s="33"/>
      <c r="G124" s="33"/>
    </row>
    <row r="125" spans="3:7" x14ac:dyDescent="0.25">
      <c r="C125" s="22">
        <v>117</v>
      </c>
      <c r="D125" s="34">
        <v>0.4</v>
      </c>
      <c r="E125" s="34">
        <v>0.4</v>
      </c>
      <c r="F125" s="33"/>
      <c r="G125" s="33"/>
    </row>
    <row r="126" spans="3:7" x14ac:dyDescent="0.25">
      <c r="C126" s="22">
        <v>118</v>
      </c>
      <c r="D126" s="34">
        <v>0.4</v>
      </c>
      <c r="E126" s="34">
        <v>0.4</v>
      </c>
      <c r="F126" s="33"/>
      <c r="G126" s="33"/>
    </row>
    <row r="127" spans="3:7" x14ac:dyDescent="0.25">
      <c r="C127" s="22">
        <v>119</v>
      </c>
      <c r="D127" s="34">
        <v>0.4</v>
      </c>
      <c r="E127" s="34">
        <v>0.4</v>
      </c>
      <c r="F127" s="33"/>
      <c r="G127" s="33"/>
    </row>
    <row r="128" spans="3:7" x14ac:dyDescent="0.25">
      <c r="C128" s="22">
        <v>120</v>
      </c>
      <c r="D128" s="34">
        <v>0.4</v>
      </c>
      <c r="E128" s="34">
        <v>0.4</v>
      </c>
      <c r="F128" s="33"/>
      <c r="G128" s="33"/>
    </row>
    <row r="129" spans="1:7" x14ac:dyDescent="0.25">
      <c r="C129" s="22">
        <v>121</v>
      </c>
      <c r="D129" s="34">
        <v>1</v>
      </c>
      <c r="E129" s="34">
        <v>1</v>
      </c>
      <c r="F129" s="33"/>
      <c r="G129" s="33"/>
    </row>
    <row r="131" spans="1:7" x14ac:dyDescent="0.25">
      <c r="A131" s="20" t="s">
        <v>0</v>
      </c>
      <c r="B131" t="s">
        <v>89</v>
      </c>
      <c r="C131" s="20" t="s">
        <v>88</v>
      </c>
      <c r="D131" s="20" t="s">
        <v>2</v>
      </c>
      <c r="E131" s="20" t="s">
        <v>3</v>
      </c>
    </row>
    <row r="132" spans="1:7" x14ac:dyDescent="0.25">
      <c r="C132" s="22">
        <v>0</v>
      </c>
      <c r="D132">
        <v>0.01</v>
      </c>
      <c r="E132">
        <v>0.01</v>
      </c>
    </row>
    <row r="133" spans="1:7" x14ac:dyDescent="0.25">
      <c r="C133" s="22">
        <v>1</v>
      </c>
      <c r="D133">
        <v>0.01</v>
      </c>
      <c r="E133">
        <v>0.01</v>
      </c>
    </row>
    <row r="134" spans="1:7" x14ac:dyDescent="0.25">
      <c r="C134" s="22">
        <v>2</v>
      </c>
      <c r="D134">
        <v>0.01</v>
      </c>
      <c r="E134">
        <v>0.01</v>
      </c>
    </row>
    <row r="135" spans="1:7" x14ac:dyDescent="0.25">
      <c r="C135" s="22">
        <v>3</v>
      </c>
      <c r="D135">
        <v>0.01</v>
      </c>
      <c r="E135">
        <v>0.01</v>
      </c>
    </row>
    <row r="136" spans="1:7" x14ac:dyDescent="0.25">
      <c r="C136" s="22">
        <v>4</v>
      </c>
      <c r="D136">
        <v>0.01</v>
      </c>
      <c r="E136">
        <v>0.01</v>
      </c>
    </row>
    <row r="137" spans="1:7" x14ac:dyDescent="0.25">
      <c r="C137" s="22">
        <v>5</v>
      </c>
      <c r="D137">
        <v>0.01</v>
      </c>
      <c r="E137">
        <v>0.01</v>
      </c>
    </row>
    <row r="138" spans="1:7" x14ac:dyDescent="0.25">
      <c r="C138" s="22">
        <v>6</v>
      </c>
      <c r="D138">
        <v>0.01</v>
      </c>
      <c r="E138">
        <v>0.01</v>
      </c>
    </row>
    <row r="139" spans="1:7" x14ac:dyDescent="0.25">
      <c r="C139" s="22">
        <v>7</v>
      </c>
      <c r="D139">
        <v>0.01</v>
      </c>
      <c r="E139">
        <v>0.01</v>
      </c>
    </row>
    <row r="140" spans="1:7" x14ac:dyDescent="0.25">
      <c r="C140" s="22">
        <v>8</v>
      </c>
      <c r="D140">
        <v>0.01</v>
      </c>
      <c r="E140">
        <v>0.01</v>
      </c>
    </row>
    <row r="141" spans="1:7" x14ac:dyDescent="0.25">
      <c r="C141" s="22">
        <v>9</v>
      </c>
      <c r="D141">
        <v>0.01</v>
      </c>
      <c r="E141">
        <v>0.01</v>
      </c>
    </row>
    <row r="142" spans="1:7" x14ac:dyDescent="0.25">
      <c r="C142" s="22">
        <v>10</v>
      </c>
      <c r="D142">
        <v>0.01</v>
      </c>
      <c r="E142">
        <v>0.01</v>
      </c>
    </row>
    <row r="143" spans="1:7" x14ac:dyDescent="0.25">
      <c r="C143" s="22">
        <v>11</v>
      </c>
      <c r="D143">
        <v>0.01</v>
      </c>
      <c r="E143">
        <v>0.01</v>
      </c>
    </row>
    <row r="144" spans="1:7" x14ac:dyDescent="0.25">
      <c r="C144" s="22">
        <v>12</v>
      </c>
      <c r="D144">
        <v>0.01</v>
      </c>
      <c r="E144">
        <v>0.01</v>
      </c>
    </row>
    <row r="145" spans="3:5" x14ac:dyDescent="0.25">
      <c r="C145" s="22">
        <v>13</v>
      </c>
      <c r="D145">
        <v>0.01</v>
      </c>
      <c r="E145">
        <v>0.01</v>
      </c>
    </row>
    <row r="146" spans="3:5" x14ac:dyDescent="0.25">
      <c r="C146" s="22">
        <v>14</v>
      </c>
      <c r="D146">
        <v>0.01</v>
      </c>
      <c r="E146">
        <v>0.01</v>
      </c>
    </row>
    <row r="147" spans="3:5" x14ac:dyDescent="0.25">
      <c r="C147" s="22">
        <v>15</v>
      </c>
      <c r="D147">
        <v>0.01</v>
      </c>
      <c r="E147">
        <v>0.01</v>
      </c>
    </row>
    <row r="148" spans="3:5" x14ac:dyDescent="0.25">
      <c r="C148" s="22">
        <v>16</v>
      </c>
      <c r="D148">
        <v>0.01</v>
      </c>
      <c r="E148">
        <v>0.01</v>
      </c>
    </row>
    <row r="149" spans="3:5" x14ac:dyDescent="0.25">
      <c r="C149" s="22">
        <v>17</v>
      </c>
      <c r="D149">
        <v>0.01</v>
      </c>
      <c r="E149">
        <v>0.01</v>
      </c>
    </row>
    <row r="150" spans="3:5" x14ac:dyDescent="0.25">
      <c r="C150" s="22">
        <v>18</v>
      </c>
      <c r="D150">
        <v>0.01</v>
      </c>
      <c r="E150">
        <v>0.01</v>
      </c>
    </row>
    <row r="151" spans="3:5" x14ac:dyDescent="0.25">
      <c r="C151" s="22">
        <v>19</v>
      </c>
      <c r="D151">
        <v>0.01</v>
      </c>
      <c r="E151">
        <v>0.01</v>
      </c>
    </row>
    <row r="152" spans="3:5" x14ac:dyDescent="0.25">
      <c r="C152" s="22">
        <v>20</v>
      </c>
      <c r="D152">
        <v>0.01</v>
      </c>
      <c r="E152">
        <v>0.01</v>
      </c>
    </row>
    <row r="153" spans="3:5" x14ac:dyDescent="0.25">
      <c r="C153" s="22">
        <v>21</v>
      </c>
      <c r="D153">
        <v>0.01</v>
      </c>
      <c r="E153">
        <v>0.01</v>
      </c>
    </row>
    <row r="154" spans="3:5" x14ac:dyDescent="0.25">
      <c r="C154" s="22">
        <v>22</v>
      </c>
      <c r="D154">
        <v>0.01</v>
      </c>
      <c r="E154">
        <v>0.01</v>
      </c>
    </row>
    <row r="155" spans="3:5" x14ac:dyDescent="0.25">
      <c r="C155" s="22">
        <v>23</v>
      </c>
      <c r="D155">
        <v>0.01</v>
      </c>
      <c r="E155">
        <v>0.01</v>
      </c>
    </row>
    <row r="156" spans="3:5" x14ac:dyDescent="0.25">
      <c r="C156" s="22">
        <v>24</v>
      </c>
      <c r="D156">
        <v>0.01</v>
      </c>
      <c r="E156">
        <v>0.01</v>
      </c>
    </row>
    <row r="157" spans="3:5" x14ac:dyDescent="0.25">
      <c r="C157" s="22">
        <v>25</v>
      </c>
      <c r="D157">
        <v>0.01</v>
      </c>
      <c r="E157">
        <v>0.01</v>
      </c>
    </row>
    <row r="158" spans="3:5" x14ac:dyDescent="0.25">
      <c r="C158" s="22">
        <v>26</v>
      </c>
      <c r="D158">
        <v>0.01</v>
      </c>
      <c r="E158">
        <v>0.01</v>
      </c>
    </row>
    <row r="159" spans="3:5" x14ac:dyDescent="0.25">
      <c r="C159" s="22">
        <v>27</v>
      </c>
      <c r="D159">
        <v>0.01</v>
      </c>
      <c r="E159">
        <v>0.01</v>
      </c>
    </row>
    <row r="160" spans="3:5" x14ac:dyDescent="0.25">
      <c r="C160" s="22">
        <v>28</v>
      </c>
      <c r="D160">
        <v>0.01</v>
      </c>
      <c r="E160">
        <v>0.01</v>
      </c>
    </row>
    <row r="161" spans="3:5" x14ac:dyDescent="0.25">
      <c r="C161" s="22">
        <v>29</v>
      </c>
      <c r="D161">
        <v>0.01</v>
      </c>
      <c r="E161">
        <v>0.01</v>
      </c>
    </row>
    <row r="162" spans="3:5" x14ac:dyDescent="0.25">
      <c r="C162" s="22">
        <v>30</v>
      </c>
      <c r="D162">
        <v>0.01</v>
      </c>
      <c r="E162">
        <v>0.01</v>
      </c>
    </row>
    <row r="163" spans="3:5" x14ac:dyDescent="0.25">
      <c r="C163" s="22">
        <v>31</v>
      </c>
      <c r="D163">
        <v>0.01</v>
      </c>
      <c r="E163">
        <v>0.01</v>
      </c>
    </row>
    <row r="164" spans="3:5" x14ac:dyDescent="0.25">
      <c r="C164" s="22">
        <v>32</v>
      </c>
      <c r="D164">
        <v>0.01</v>
      </c>
      <c r="E164">
        <v>0.01</v>
      </c>
    </row>
    <row r="165" spans="3:5" x14ac:dyDescent="0.25">
      <c r="C165" s="22">
        <v>33</v>
      </c>
      <c r="D165">
        <v>0.01</v>
      </c>
      <c r="E165">
        <v>0.01</v>
      </c>
    </row>
    <row r="166" spans="3:5" x14ac:dyDescent="0.25">
      <c r="C166" s="22">
        <v>34</v>
      </c>
      <c r="D166">
        <v>0.01</v>
      </c>
      <c r="E166">
        <v>0.01</v>
      </c>
    </row>
    <row r="167" spans="3:5" x14ac:dyDescent="0.25">
      <c r="C167" s="22">
        <v>35</v>
      </c>
      <c r="D167">
        <v>0.01</v>
      </c>
      <c r="E167">
        <v>0.01</v>
      </c>
    </row>
    <row r="168" spans="3:5" x14ac:dyDescent="0.25">
      <c r="C168" s="22">
        <v>36</v>
      </c>
      <c r="D168">
        <v>0.01</v>
      </c>
      <c r="E168">
        <v>0.01</v>
      </c>
    </row>
    <row r="169" spans="3:5" x14ac:dyDescent="0.25">
      <c r="C169" s="22">
        <v>37</v>
      </c>
      <c r="D169">
        <v>0.01</v>
      </c>
      <c r="E169">
        <v>0.01</v>
      </c>
    </row>
    <row r="170" spans="3:5" x14ac:dyDescent="0.25">
      <c r="C170" s="22">
        <v>38</v>
      </c>
      <c r="D170">
        <v>0.01</v>
      </c>
      <c r="E170">
        <v>0.01</v>
      </c>
    </row>
    <row r="171" spans="3:5" x14ac:dyDescent="0.25">
      <c r="C171" s="22">
        <v>39</v>
      </c>
      <c r="D171">
        <v>0.01</v>
      </c>
      <c r="E171">
        <v>0.01</v>
      </c>
    </row>
    <row r="172" spans="3:5" x14ac:dyDescent="0.25">
      <c r="C172" s="22">
        <v>40</v>
      </c>
      <c r="D172">
        <v>0.01</v>
      </c>
      <c r="E172">
        <v>0.01</v>
      </c>
    </row>
    <row r="173" spans="3:5" x14ac:dyDescent="0.25">
      <c r="C173" s="22">
        <v>41</v>
      </c>
      <c r="D173">
        <v>0.01</v>
      </c>
      <c r="E173">
        <v>0.01</v>
      </c>
    </row>
    <row r="174" spans="3:5" x14ac:dyDescent="0.25">
      <c r="C174" s="22">
        <v>42</v>
      </c>
      <c r="D174">
        <v>0.01</v>
      </c>
      <c r="E174">
        <v>0.01</v>
      </c>
    </row>
    <row r="175" spans="3:5" x14ac:dyDescent="0.25">
      <c r="C175" s="22">
        <v>43</v>
      </c>
      <c r="D175">
        <v>0.01</v>
      </c>
      <c r="E175">
        <v>0.01</v>
      </c>
    </row>
    <row r="176" spans="3:5" x14ac:dyDescent="0.25">
      <c r="C176" s="22">
        <v>44</v>
      </c>
      <c r="D176">
        <v>0.01</v>
      </c>
      <c r="E176">
        <v>0.01</v>
      </c>
    </row>
    <row r="177" spans="3:5" x14ac:dyDescent="0.25">
      <c r="C177" s="22">
        <v>45</v>
      </c>
      <c r="D177">
        <v>0.01</v>
      </c>
      <c r="E177">
        <v>0.01</v>
      </c>
    </row>
    <row r="178" spans="3:5" x14ac:dyDescent="0.25">
      <c r="C178" s="22">
        <v>46</v>
      </c>
      <c r="D178">
        <v>0.01</v>
      </c>
      <c r="E178">
        <v>0.01</v>
      </c>
    </row>
    <row r="179" spans="3:5" x14ac:dyDescent="0.25">
      <c r="C179" s="22">
        <v>47</v>
      </c>
      <c r="D179">
        <v>0.01</v>
      </c>
      <c r="E179">
        <v>0.01</v>
      </c>
    </row>
    <row r="180" spans="3:5" x14ac:dyDescent="0.25">
      <c r="C180" s="22">
        <v>48</v>
      </c>
      <c r="D180">
        <v>0.01</v>
      </c>
      <c r="E180">
        <v>0.01</v>
      </c>
    </row>
    <row r="181" spans="3:5" x14ac:dyDescent="0.25">
      <c r="C181" s="22">
        <v>49</v>
      </c>
      <c r="D181">
        <v>0.01</v>
      </c>
      <c r="E181">
        <v>0.01</v>
      </c>
    </row>
    <row r="182" spans="3:5" x14ac:dyDescent="0.25">
      <c r="C182" s="22">
        <v>50</v>
      </c>
      <c r="D182">
        <v>0.01</v>
      </c>
      <c r="E182">
        <v>0.01</v>
      </c>
    </row>
    <row r="183" spans="3:5" x14ac:dyDescent="0.25">
      <c r="C183" s="22">
        <v>51</v>
      </c>
      <c r="D183">
        <v>1.0999999999999999E-2</v>
      </c>
      <c r="E183">
        <v>0.01</v>
      </c>
    </row>
    <row r="184" spans="3:5" x14ac:dyDescent="0.25">
      <c r="C184" s="22">
        <v>52</v>
      </c>
      <c r="D184">
        <v>1.0999999999999999E-2</v>
      </c>
      <c r="E184">
        <v>1.0999999999999999E-2</v>
      </c>
    </row>
    <row r="185" spans="3:5" x14ac:dyDescent="0.25">
      <c r="C185" s="22">
        <v>53</v>
      </c>
      <c r="D185">
        <v>1.2E-2</v>
      </c>
      <c r="E185">
        <v>1.0999999999999999E-2</v>
      </c>
    </row>
    <row r="186" spans="3:5" x14ac:dyDescent="0.25">
      <c r="C186" s="22">
        <v>54</v>
      </c>
      <c r="D186">
        <v>1.2E-2</v>
      </c>
      <c r="E186">
        <v>1.0999999999999999E-2</v>
      </c>
    </row>
    <row r="187" spans="3:5" x14ac:dyDescent="0.25">
      <c r="C187" s="22">
        <v>55</v>
      </c>
      <c r="D187">
        <v>1.2999999999999999E-2</v>
      </c>
      <c r="E187">
        <v>1.2E-2</v>
      </c>
    </row>
    <row r="188" spans="3:5" x14ac:dyDescent="0.25">
      <c r="C188" s="22">
        <v>56</v>
      </c>
      <c r="D188">
        <v>1.2999999999999999E-2</v>
      </c>
      <c r="E188">
        <v>1.2E-2</v>
      </c>
    </row>
    <row r="189" spans="3:5" x14ac:dyDescent="0.25">
      <c r="C189" s="22">
        <v>57</v>
      </c>
      <c r="D189">
        <v>1.4E-2</v>
      </c>
      <c r="E189">
        <v>1.2E-2</v>
      </c>
    </row>
    <row r="190" spans="3:5" x14ac:dyDescent="0.25">
      <c r="C190" s="22">
        <v>58</v>
      </c>
      <c r="D190">
        <v>1.4E-2</v>
      </c>
      <c r="E190">
        <v>1.2E-2</v>
      </c>
    </row>
    <row r="191" spans="3:5" x14ac:dyDescent="0.25">
      <c r="C191" s="22">
        <v>59</v>
      </c>
      <c r="D191">
        <v>1.4999999999999999E-2</v>
      </c>
      <c r="E191">
        <v>1.2999999999999999E-2</v>
      </c>
    </row>
    <row r="192" spans="3:5" x14ac:dyDescent="0.25">
      <c r="C192" s="22">
        <v>60</v>
      </c>
      <c r="D192">
        <v>1.4999999999999999E-2</v>
      </c>
      <c r="E192">
        <v>1.2999999999999999E-2</v>
      </c>
    </row>
    <row r="193" spans="3:5" x14ac:dyDescent="0.25">
      <c r="C193" s="22">
        <v>61</v>
      </c>
      <c r="D193">
        <v>1.4999999999999999E-2</v>
      </c>
      <c r="E193">
        <v>1.2999999999999999E-2</v>
      </c>
    </row>
    <row r="194" spans="3:5" x14ac:dyDescent="0.25">
      <c r="C194" s="22">
        <v>62</v>
      </c>
      <c r="D194">
        <v>1.4999999999999999E-2</v>
      </c>
      <c r="E194">
        <v>1.2999999999999999E-2</v>
      </c>
    </row>
    <row r="195" spans="3:5" x14ac:dyDescent="0.25">
      <c r="C195" s="22">
        <v>63</v>
      </c>
      <c r="D195">
        <v>1.4999999999999999E-2</v>
      </c>
      <c r="E195">
        <v>1.2999999999999999E-2</v>
      </c>
    </row>
    <row r="196" spans="3:5" x14ac:dyDescent="0.25">
      <c r="C196" s="22">
        <v>64</v>
      </c>
      <c r="D196">
        <v>1.4999999999999999E-2</v>
      </c>
      <c r="E196">
        <v>1.2999999999999999E-2</v>
      </c>
    </row>
    <row r="197" spans="3:5" x14ac:dyDescent="0.25">
      <c r="C197" s="22">
        <v>65</v>
      </c>
      <c r="D197">
        <v>1.4999999999999999E-2</v>
      </c>
      <c r="E197">
        <v>1.2999999999999999E-2</v>
      </c>
    </row>
    <row r="198" spans="3:5" x14ac:dyDescent="0.25">
      <c r="C198" s="22">
        <v>66</v>
      </c>
      <c r="D198">
        <v>1.4999999999999999E-2</v>
      </c>
      <c r="E198">
        <v>1.2999999999999999E-2</v>
      </c>
    </row>
    <row r="199" spans="3:5" x14ac:dyDescent="0.25">
      <c r="C199" s="22">
        <v>67</v>
      </c>
      <c r="D199">
        <v>1.4999999999999999E-2</v>
      </c>
      <c r="E199">
        <v>1.2999999999999999E-2</v>
      </c>
    </row>
    <row r="200" spans="3:5" x14ac:dyDescent="0.25">
      <c r="C200" s="22">
        <v>68</v>
      </c>
      <c r="D200">
        <v>1.4999999999999999E-2</v>
      </c>
      <c r="E200">
        <v>1.2999999999999999E-2</v>
      </c>
    </row>
    <row r="201" spans="3:5" x14ac:dyDescent="0.25">
      <c r="C201" s="22">
        <v>69</v>
      </c>
      <c r="D201">
        <v>1.4999999999999999E-2</v>
      </c>
      <c r="E201">
        <v>1.2999999999999999E-2</v>
      </c>
    </row>
    <row r="202" spans="3:5" x14ac:dyDescent="0.25">
      <c r="C202" s="22">
        <v>70</v>
      </c>
      <c r="D202">
        <v>1.4999999999999999E-2</v>
      </c>
      <c r="E202">
        <v>1.2999999999999999E-2</v>
      </c>
    </row>
    <row r="203" spans="3:5" x14ac:dyDescent="0.25">
      <c r="C203" s="22">
        <v>71</v>
      </c>
      <c r="D203">
        <v>1.4999999999999999E-2</v>
      </c>
      <c r="E203">
        <v>1.2999999999999999E-2</v>
      </c>
    </row>
    <row r="204" spans="3:5" x14ac:dyDescent="0.25">
      <c r="C204" s="22">
        <v>72</v>
      </c>
      <c r="D204">
        <v>1.4999999999999999E-2</v>
      </c>
      <c r="E204">
        <v>1.2999999999999999E-2</v>
      </c>
    </row>
    <row r="205" spans="3:5" x14ac:dyDescent="0.25">
      <c r="C205" s="22">
        <v>73</v>
      </c>
      <c r="D205">
        <v>1.4999999999999999E-2</v>
      </c>
      <c r="E205">
        <v>1.2999999999999999E-2</v>
      </c>
    </row>
    <row r="206" spans="3:5" x14ac:dyDescent="0.25">
      <c r="C206" s="22">
        <v>74</v>
      </c>
      <c r="D206">
        <v>1.4999999999999999E-2</v>
      </c>
      <c r="E206">
        <v>1.2999999999999999E-2</v>
      </c>
    </row>
    <row r="207" spans="3:5" x14ac:dyDescent="0.25">
      <c r="C207" s="22">
        <v>75</v>
      </c>
      <c r="D207">
        <v>1.4999999999999999E-2</v>
      </c>
      <c r="E207">
        <v>1.2999999999999999E-2</v>
      </c>
    </row>
    <row r="208" spans="3:5" x14ac:dyDescent="0.25">
      <c r="C208" s="22">
        <v>76</v>
      </c>
      <c r="D208">
        <v>1.4999999999999999E-2</v>
      </c>
      <c r="E208">
        <v>1.2999999999999999E-2</v>
      </c>
    </row>
    <row r="209" spans="3:5" x14ac:dyDescent="0.25">
      <c r="C209" s="22">
        <v>77</v>
      </c>
      <c r="D209">
        <v>1.4999999999999999E-2</v>
      </c>
      <c r="E209">
        <v>1.2999999999999999E-2</v>
      </c>
    </row>
    <row r="210" spans="3:5" x14ac:dyDescent="0.25">
      <c r="C210" s="22">
        <v>78</v>
      </c>
      <c r="D210">
        <v>1.4999999999999999E-2</v>
      </c>
      <c r="E210">
        <v>1.2999999999999999E-2</v>
      </c>
    </row>
    <row r="211" spans="3:5" x14ac:dyDescent="0.25">
      <c r="C211" s="22">
        <v>79</v>
      </c>
      <c r="D211">
        <v>1.4999999999999999E-2</v>
      </c>
      <c r="E211">
        <v>1.2999999999999999E-2</v>
      </c>
    </row>
    <row r="212" spans="3:5" x14ac:dyDescent="0.25">
      <c r="C212" s="22">
        <v>80</v>
      </c>
      <c r="D212">
        <v>1.4999999999999999E-2</v>
      </c>
      <c r="E212">
        <v>1.2999999999999999E-2</v>
      </c>
    </row>
    <row r="213" spans="3:5" x14ac:dyDescent="0.25">
      <c r="C213" s="22">
        <v>81</v>
      </c>
      <c r="D213">
        <v>1.4E-2</v>
      </c>
      <c r="E213">
        <v>1.2E-2</v>
      </c>
    </row>
    <row r="214" spans="3:5" x14ac:dyDescent="0.25">
      <c r="C214" s="22">
        <v>82</v>
      </c>
      <c r="D214">
        <v>1.2999999999999999E-2</v>
      </c>
      <c r="E214">
        <v>1.2E-2</v>
      </c>
    </row>
    <row r="215" spans="3:5" x14ac:dyDescent="0.25">
      <c r="C215" s="22">
        <v>83</v>
      </c>
      <c r="D215">
        <v>1.2999999999999999E-2</v>
      </c>
      <c r="E215">
        <v>1.0999999999999999E-2</v>
      </c>
    </row>
    <row r="216" spans="3:5" x14ac:dyDescent="0.25">
      <c r="C216" s="22">
        <v>84</v>
      </c>
      <c r="D216">
        <v>1.2E-2</v>
      </c>
      <c r="E216">
        <v>0.01</v>
      </c>
    </row>
    <row r="217" spans="3:5" x14ac:dyDescent="0.25">
      <c r="C217" s="22">
        <v>85</v>
      </c>
      <c r="D217">
        <v>1.0999999999999999E-2</v>
      </c>
      <c r="E217">
        <v>0.01</v>
      </c>
    </row>
    <row r="218" spans="3:5" x14ac:dyDescent="0.25">
      <c r="C218" s="22">
        <v>86</v>
      </c>
      <c r="D218">
        <v>0.01</v>
      </c>
      <c r="E218">
        <v>8.9999999999999993E-3</v>
      </c>
    </row>
    <row r="219" spans="3:5" x14ac:dyDescent="0.25">
      <c r="C219" s="22">
        <v>87</v>
      </c>
      <c r="D219">
        <v>8.9999999999999993E-3</v>
      </c>
      <c r="E219">
        <v>8.0000000000000002E-3</v>
      </c>
    </row>
    <row r="220" spans="3:5" x14ac:dyDescent="0.25">
      <c r="C220" s="22">
        <v>88</v>
      </c>
      <c r="D220">
        <v>8.9999999999999993E-3</v>
      </c>
      <c r="E220">
        <v>7.0000000000000001E-3</v>
      </c>
    </row>
    <row r="221" spans="3:5" x14ac:dyDescent="0.25">
      <c r="C221" s="22">
        <v>89</v>
      </c>
      <c r="D221">
        <v>8.0000000000000002E-3</v>
      </c>
      <c r="E221">
        <v>7.0000000000000001E-3</v>
      </c>
    </row>
    <row r="222" spans="3:5" x14ac:dyDescent="0.25">
      <c r="C222" s="22">
        <v>90</v>
      </c>
      <c r="D222">
        <v>7.0000000000000001E-3</v>
      </c>
      <c r="E222">
        <v>6.0000000000000001E-3</v>
      </c>
    </row>
    <row r="223" spans="3:5" x14ac:dyDescent="0.25">
      <c r="C223" s="22">
        <v>91</v>
      </c>
      <c r="D223">
        <v>7.0000000000000001E-3</v>
      </c>
      <c r="E223">
        <v>6.0000000000000001E-3</v>
      </c>
    </row>
    <row r="224" spans="3:5" x14ac:dyDescent="0.25">
      <c r="C224" s="22">
        <v>92</v>
      </c>
      <c r="D224">
        <v>6.0000000000000001E-3</v>
      </c>
      <c r="E224">
        <v>5.0000000000000001E-3</v>
      </c>
    </row>
    <row r="225" spans="3:5" x14ac:dyDescent="0.25">
      <c r="C225" s="22">
        <v>93</v>
      </c>
      <c r="D225">
        <v>5.0000000000000001E-3</v>
      </c>
      <c r="E225">
        <v>5.0000000000000001E-3</v>
      </c>
    </row>
    <row r="226" spans="3:5" x14ac:dyDescent="0.25">
      <c r="C226" s="22">
        <v>94</v>
      </c>
      <c r="D226">
        <v>5.0000000000000001E-3</v>
      </c>
      <c r="E226">
        <v>4.0000000000000001E-3</v>
      </c>
    </row>
    <row r="227" spans="3:5" x14ac:dyDescent="0.25">
      <c r="C227" s="22">
        <v>95</v>
      </c>
      <c r="D227">
        <v>4.0000000000000001E-3</v>
      </c>
      <c r="E227">
        <v>4.0000000000000001E-3</v>
      </c>
    </row>
    <row r="228" spans="3:5" x14ac:dyDescent="0.25">
      <c r="C228" s="22">
        <v>96</v>
      </c>
      <c r="D228">
        <v>4.0000000000000001E-3</v>
      </c>
      <c r="E228">
        <v>4.0000000000000001E-3</v>
      </c>
    </row>
    <row r="229" spans="3:5" x14ac:dyDescent="0.25">
      <c r="C229" s="22">
        <v>97</v>
      </c>
      <c r="D229">
        <v>3.0000000000000001E-3</v>
      </c>
      <c r="E229">
        <v>3.0000000000000001E-3</v>
      </c>
    </row>
    <row r="230" spans="3:5" x14ac:dyDescent="0.25">
      <c r="C230" s="22">
        <v>98</v>
      </c>
      <c r="D230">
        <v>3.0000000000000001E-3</v>
      </c>
      <c r="E230">
        <v>3.0000000000000001E-3</v>
      </c>
    </row>
    <row r="231" spans="3:5" x14ac:dyDescent="0.25">
      <c r="C231" s="22">
        <v>99</v>
      </c>
      <c r="D231">
        <v>2E-3</v>
      </c>
      <c r="E231">
        <v>2E-3</v>
      </c>
    </row>
    <row r="232" spans="3:5" x14ac:dyDescent="0.25">
      <c r="C232" s="22">
        <v>100</v>
      </c>
      <c r="D232">
        <v>2E-3</v>
      </c>
      <c r="E232">
        <v>2E-3</v>
      </c>
    </row>
    <row r="233" spans="3:5" x14ac:dyDescent="0.25">
      <c r="C233" s="22">
        <v>101</v>
      </c>
      <c r="D233">
        <v>2E-3</v>
      </c>
      <c r="E233">
        <v>2E-3</v>
      </c>
    </row>
    <row r="234" spans="3:5" x14ac:dyDescent="0.25">
      <c r="C234" s="22">
        <v>102</v>
      </c>
      <c r="D234">
        <v>1E-3</v>
      </c>
      <c r="E234">
        <v>1E-3</v>
      </c>
    </row>
    <row r="235" spans="3:5" x14ac:dyDescent="0.25">
      <c r="C235" s="22">
        <v>103</v>
      </c>
      <c r="D235">
        <v>1E-3</v>
      </c>
      <c r="E235">
        <v>1E-3</v>
      </c>
    </row>
    <row r="236" spans="3:5" x14ac:dyDescent="0.25">
      <c r="C236" s="22">
        <v>104</v>
      </c>
      <c r="D236">
        <v>0</v>
      </c>
      <c r="E236">
        <v>0</v>
      </c>
    </row>
    <row r="237" spans="3:5" x14ac:dyDescent="0.25">
      <c r="C237" s="22">
        <v>105</v>
      </c>
      <c r="D237">
        <v>0</v>
      </c>
      <c r="E237">
        <v>0</v>
      </c>
    </row>
    <row r="238" spans="3:5" x14ac:dyDescent="0.25">
      <c r="C238" s="22">
        <v>106</v>
      </c>
      <c r="D238">
        <v>0</v>
      </c>
      <c r="E238">
        <v>0</v>
      </c>
    </row>
    <row r="239" spans="3:5" x14ac:dyDescent="0.25">
      <c r="C239" s="22">
        <v>107</v>
      </c>
      <c r="D239">
        <v>0</v>
      </c>
      <c r="E239">
        <v>0</v>
      </c>
    </row>
    <row r="240" spans="3:5" x14ac:dyDescent="0.25">
      <c r="C240" s="22">
        <v>108</v>
      </c>
      <c r="D240">
        <v>0</v>
      </c>
      <c r="E240">
        <v>0</v>
      </c>
    </row>
    <row r="241" spans="1:13" x14ac:dyDescent="0.25">
      <c r="C241" s="22">
        <v>109</v>
      </c>
      <c r="D241">
        <v>0</v>
      </c>
      <c r="E241">
        <v>0</v>
      </c>
    </row>
    <row r="242" spans="1:13" x14ac:dyDescent="0.25">
      <c r="C242" s="22">
        <v>110</v>
      </c>
      <c r="D242">
        <v>0</v>
      </c>
      <c r="E242">
        <v>0</v>
      </c>
    </row>
    <row r="243" spans="1:13" x14ac:dyDescent="0.25">
      <c r="C243" s="22">
        <v>111</v>
      </c>
      <c r="D243">
        <v>0</v>
      </c>
      <c r="E243">
        <v>0</v>
      </c>
    </row>
    <row r="244" spans="1:13" x14ac:dyDescent="0.25">
      <c r="C244" s="22">
        <v>112</v>
      </c>
      <c r="D244">
        <v>0</v>
      </c>
      <c r="E244">
        <v>0</v>
      </c>
    </row>
    <row r="245" spans="1:13" x14ac:dyDescent="0.25">
      <c r="C245" s="22">
        <v>113</v>
      </c>
      <c r="D245">
        <v>0</v>
      </c>
      <c r="E245">
        <v>0</v>
      </c>
    </row>
    <row r="246" spans="1:13" x14ac:dyDescent="0.25">
      <c r="C246" s="22">
        <v>114</v>
      </c>
      <c r="D246">
        <v>0</v>
      </c>
      <c r="E246">
        <v>0</v>
      </c>
    </row>
    <row r="247" spans="1:13" x14ac:dyDescent="0.25">
      <c r="C247" s="22">
        <v>115</v>
      </c>
      <c r="D247">
        <v>0</v>
      </c>
      <c r="E247">
        <v>0</v>
      </c>
    </row>
    <row r="248" spans="1:13" x14ac:dyDescent="0.25">
      <c r="C248" s="22">
        <v>116</v>
      </c>
      <c r="D248">
        <v>0</v>
      </c>
      <c r="E248">
        <v>0</v>
      </c>
    </row>
    <row r="249" spans="1:13" x14ac:dyDescent="0.25">
      <c r="C249" s="22">
        <v>117</v>
      </c>
      <c r="D249">
        <v>0</v>
      </c>
      <c r="E249">
        <v>0</v>
      </c>
    </row>
    <row r="250" spans="1:13" x14ac:dyDescent="0.25">
      <c r="C250" s="22">
        <v>118</v>
      </c>
      <c r="D250">
        <v>0</v>
      </c>
      <c r="E250">
        <v>0</v>
      </c>
    </row>
    <row r="251" spans="1:13" x14ac:dyDescent="0.25">
      <c r="C251" s="22">
        <v>119</v>
      </c>
      <c r="D251">
        <v>0</v>
      </c>
      <c r="E251">
        <v>0</v>
      </c>
    </row>
    <row r="252" spans="1:13" x14ac:dyDescent="0.25">
      <c r="C252" s="22">
        <v>120</v>
      </c>
      <c r="D252">
        <v>0</v>
      </c>
      <c r="E252">
        <v>0</v>
      </c>
    </row>
    <row r="253" spans="1:13" x14ac:dyDescent="0.25">
      <c r="C253" s="22">
        <v>121</v>
      </c>
      <c r="D253">
        <v>0</v>
      </c>
      <c r="E253">
        <v>0</v>
      </c>
    </row>
    <row r="255" spans="1:13" x14ac:dyDescent="0.25">
      <c r="A255" s="20" t="s">
        <v>90</v>
      </c>
      <c r="B255" t="s">
        <v>96</v>
      </c>
      <c r="C255" s="23" t="s">
        <v>92</v>
      </c>
      <c r="D255" s="23">
        <v>1</v>
      </c>
      <c r="E255" s="23">
        <v>2</v>
      </c>
      <c r="F255" s="23">
        <v>3</v>
      </c>
      <c r="G255" s="23">
        <v>4</v>
      </c>
      <c r="H255" s="23">
        <v>5</v>
      </c>
      <c r="I255" s="23">
        <v>6</v>
      </c>
      <c r="J255" s="23">
        <v>7</v>
      </c>
      <c r="K255" s="23">
        <v>8</v>
      </c>
      <c r="L255" s="23">
        <v>9</v>
      </c>
      <c r="M255" s="23">
        <v>10</v>
      </c>
    </row>
    <row r="256" spans="1:13" x14ac:dyDescent="0.25">
      <c r="C256" s="23">
        <v>1</v>
      </c>
      <c r="D256">
        <v>0.20869477684240323</v>
      </c>
      <c r="E256">
        <v>7.6240032391483026E-2</v>
      </c>
      <c r="F256">
        <v>0.4701872054973063</v>
      </c>
      <c r="G256">
        <v>0.12235427433113655</v>
      </c>
      <c r="H256">
        <v>0.79714990393311891</v>
      </c>
      <c r="I256">
        <v>9.0532087422827701E-2</v>
      </c>
      <c r="J256">
        <v>0.63621295772339637</v>
      </c>
      <c r="K256">
        <v>0.43801162482320977</v>
      </c>
      <c r="L256">
        <v>0.95213900816183528</v>
      </c>
      <c r="M256">
        <v>0.21302871221830288</v>
      </c>
    </row>
    <row r="257" spans="3:13" x14ac:dyDescent="0.25">
      <c r="C257" s="23">
        <f>1+C256</f>
        <v>2</v>
      </c>
      <c r="D257">
        <v>0.56638645979419444</v>
      </c>
      <c r="E257">
        <v>0.73271723266662769</v>
      </c>
      <c r="F257">
        <v>0.15505239550147765</v>
      </c>
      <c r="G257">
        <v>4.1359521892151418E-2</v>
      </c>
      <c r="H257">
        <v>0.15164989173602594</v>
      </c>
      <c r="I257">
        <v>0.50274180958420844</v>
      </c>
      <c r="J257">
        <v>0.92963559021853459</v>
      </c>
      <c r="K257">
        <v>0.96108588369162407</v>
      </c>
      <c r="L257">
        <v>0.21560657627528945</v>
      </c>
      <c r="M257">
        <v>0.75530735027839269</v>
      </c>
    </row>
    <row r="258" spans="3:13" x14ac:dyDescent="0.25">
      <c r="C258" s="23">
        <f t="shared" ref="C258:C280" si="0">1+C257</f>
        <v>3</v>
      </c>
      <c r="D258">
        <v>0.4193541148879586</v>
      </c>
      <c r="E258">
        <v>0.20750390609179903</v>
      </c>
      <c r="F258">
        <v>0.66091668329479203</v>
      </c>
      <c r="G258">
        <v>0.91645913741117979</v>
      </c>
      <c r="H258">
        <v>0.30311908088606199</v>
      </c>
      <c r="I258">
        <v>0.49581568940031784</v>
      </c>
      <c r="J258">
        <v>0.80623719037342712</v>
      </c>
      <c r="K258">
        <v>0.83286559701460838</v>
      </c>
      <c r="L258">
        <v>0.63147890003195462</v>
      </c>
      <c r="M258">
        <v>0.19941124826138545</v>
      </c>
    </row>
    <row r="259" spans="3:13" x14ac:dyDescent="0.25">
      <c r="C259" s="23">
        <f t="shared" si="0"/>
        <v>4</v>
      </c>
      <c r="D259">
        <v>0.5362430217037697</v>
      </c>
      <c r="E259">
        <v>0.32547379853138769</v>
      </c>
      <c r="F259">
        <v>0.98332249482247114</v>
      </c>
      <c r="G259">
        <v>0.3761486879192939</v>
      </c>
      <c r="H259">
        <v>0.46632289986375242</v>
      </c>
      <c r="I259">
        <v>0.67665552235080029</v>
      </c>
      <c r="J259">
        <v>0.62005407240261823</v>
      </c>
      <c r="K259">
        <v>0.86121254170207295</v>
      </c>
      <c r="L259">
        <v>0.87584913557485289</v>
      </c>
      <c r="M259">
        <v>0.19994414450151532</v>
      </c>
    </row>
    <row r="260" spans="3:13" x14ac:dyDescent="0.25">
      <c r="C260" s="23">
        <f t="shared" si="0"/>
        <v>5</v>
      </c>
      <c r="D260">
        <v>0.62494159873794763</v>
      </c>
      <c r="E260">
        <v>0.48208256136377348</v>
      </c>
      <c r="F260">
        <v>0.26487698557364636</v>
      </c>
      <c r="G260">
        <v>3.347804528630427E-2</v>
      </c>
      <c r="H260">
        <v>0.99380492119725472</v>
      </c>
      <c r="I260">
        <v>0.44524093272599818</v>
      </c>
      <c r="J260">
        <v>0.31152289344539252</v>
      </c>
      <c r="K260">
        <v>0.46765860333251108</v>
      </c>
      <c r="L260">
        <v>0.9558501330731457</v>
      </c>
      <c r="M260">
        <v>0.8786682892119263</v>
      </c>
    </row>
    <row r="261" spans="3:13" x14ac:dyDescent="0.25">
      <c r="C261" s="23">
        <f t="shared" si="0"/>
        <v>6</v>
      </c>
      <c r="D261">
        <v>0.87672065805320654</v>
      </c>
      <c r="E261">
        <v>0.70233907704269738</v>
      </c>
      <c r="F261">
        <v>0.91256311061354378</v>
      </c>
      <c r="G261">
        <v>0.25080393676641244</v>
      </c>
      <c r="H261">
        <v>9.4700893075204906E-2</v>
      </c>
      <c r="I261">
        <v>0.97259221570403409</v>
      </c>
      <c r="J261">
        <v>0.58990207689290941</v>
      </c>
      <c r="K261">
        <v>0.26297555001386452</v>
      </c>
      <c r="L261">
        <v>0.20138264475175194</v>
      </c>
      <c r="M261">
        <v>8.0596453239615173E-2</v>
      </c>
    </row>
    <row r="262" spans="3:13" x14ac:dyDescent="0.25">
      <c r="C262" s="23">
        <f t="shared" si="0"/>
        <v>7</v>
      </c>
      <c r="D262">
        <v>0.20372629077722182</v>
      </c>
      <c r="E262">
        <v>0.91023038420293401</v>
      </c>
      <c r="F262">
        <v>0.596826287944902</v>
      </c>
      <c r="G262">
        <v>0.88733273430770887</v>
      </c>
      <c r="H262">
        <v>0.25446830320618419</v>
      </c>
      <c r="I262">
        <v>0.72394620071407823</v>
      </c>
      <c r="J262">
        <v>0.75793542043848161</v>
      </c>
      <c r="K262">
        <v>0.19060099313872281</v>
      </c>
      <c r="L262">
        <v>0.66667675460398179</v>
      </c>
      <c r="M262">
        <v>9.3172214240447193E-2</v>
      </c>
    </row>
    <row r="263" spans="3:13" x14ac:dyDescent="0.25">
      <c r="C263" s="23">
        <f t="shared" si="0"/>
        <v>8</v>
      </c>
      <c r="D263">
        <v>0.1053355580554447</v>
      </c>
      <c r="E263">
        <v>0.49460077585316031</v>
      </c>
      <c r="F263">
        <v>0.3641776679030575</v>
      </c>
      <c r="G263">
        <v>0.20789567747921911</v>
      </c>
      <c r="H263">
        <v>0.6344661215557742</v>
      </c>
      <c r="I263">
        <v>0.21083474921203837</v>
      </c>
      <c r="J263">
        <v>0.37170675230499761</v>
      </c>
      <c r="K263">
        <v>0.51524538906588579</v>
      </c>
      <c r="L263">
        <v>0.67297611379192246</v>
      </c>
      <c r="M263">
        <v>0.5734773678558438</v>
      </c>
    </row>
    <row r="264" spans="3:13" x14ac:dyDescent="0.25">
      <c r="C264" s="23">
        <f t="shared" si="0"/>
        <v>9</v>
      </c>
      <c r="D264">
        <v>0.76358963898872589</v>
      </c>
      <c r="E264">
        <v>0.36136823907853133</v>
      </c>
      <c r="F264">
        <v>0.14821031681475527</v>
      </c>
      <c r="G264">
        <v>0.3597894804438857</v>
      </c>
      <c r="H264">
        <v>0.20700413174499321</v>
      </c>
      <c r="I264">
        <v>0.21409947589712008</v>
      </c>
      <c r="J264">
        <v>0.89199680477019128</v>
      </c>
      <c r="K264">
        <v>0.60635616334429066</v>
      </c>
      <c r="L264">
        <v>9.836356156312398E-2</v>
      </c>
      <c r="M264">
        <v>0.1868851910637801</v>
      </c>
    </row>
    <row r="265" spans="3:13" x14ac:dyDescent="0.25">
      <c r="C265" s="23">
        <f t="shared" si="0"/>
        <v>10</v>
      </c>
      <c r="D265">
        <v>0.5392244468877323</v>
      </c>
      <c r="E265">
        <v>0.74157861388882873</v>
      </c>
      <c r="F265">
        <v>0.65536546344205338</v>
      </c>
      <c r="G265">
        <v>0.48359976008537175</v>
      </c>
      <c r="H265">
        <v>0.68797630176333557</v>
      </c>
      <c r="I265">
        <v>0.34947777523067647</v>
      </c>
      <c r="J265">
        <v>0.4996539898602087</v>
      </c>
      <c r="K265">
        <v>0.58767572613535324</v>
      </c>
      <c r="L265">
        <v>0.59167866585383122</v>
      </c>
      <c r="M265">
        <v>0.16798772952015395</v>
      </c>
    </row>
    <row r="266" spans="3:13" x14ac:dyDescent="0.25">
      <c r="C266" s="23">
        <f t="shared" si="0"/>
        <v>11</v>
      </c>
      <c r="D266">
        <v>0.35315419106309887</v>
      </c>
      <c r="E266">
        <v>0.12727758880304607</v>
      </c>
      <c r="F266">
        <v>0.19248402154482447</v>
      </c>
      <c r="G266">
        <v>0.29345977466880369</v>
      </c>
      <c r="H266">
        <v>0.39391925938348604</v>
      </c>
      <c r="I266">
        <v>0.46620646261229237</v>
      </c>
      <c r="J266">
        <v>4.5656052471516162E-2</v>
      </c>
      <c r="K266">
        <v>0.31384448391452258</v>
      </c>
      <c r="L266">
        <v>0.9079785248358333</v>
      </c>
      <c r="M266">
        <v>0.49278369163524682</v>
      </c>
    </row>
    <row r="267" spans="3:13" x14ac:dyDescent="0.25">
      <c r="C267" s="23">
        <f t="shared" si="0"/>
        <v>12</v>
      </c>
      <c r="D267">
        <v>0.79366115407314786</v>
      </c>
      <c r="E267">
        <v>0.16028419514159176</v>
      </c>
      <c r="F267">
        <v>0.10104228578344288</v>
      </c>
      <c r="G267">
        <v>0.59555170193262152</v>
      </c>
      <c r="H267">
        <v>0.85788962428181714</v>
      </c>
      <c r="I267">
        <v>0.89852694797465293</v>
      </c>
      <c r="J267">
        <v>0.1328922158940391</v>
      </c>
      <c r="K267">
        <v>0.57701333912667974</v>
      </c>
      <c r="L267">
        <v>0.56698375899075049</v>
      </c>
      <c r="M267">
        <v>0.15280437028530869</v>
      </c>
    </row>
    <row r="268" spans="3:13" x14ac:dyDescent="0.25">
      <c r="C268" s="23">
        <f t="shared" si="0"/>
        <v>13</v>
      </c>
      <c r="D268">
        <v>0.64371269594871883</v>
      </c>
      <c r="E268">
        <v>0.63379794674302314</v>
      </c>
      <c r="F268">
        <v>0.93347216452300252</v>
      </c>
      <c r="G268">
        <v>0.34680692107469901</v>
      </c>
      <c r="H268">
        <v>0.59639732916410304</v>
      </c>
      <c r="I268">
        <v>0.7509342839721399</v>
      </c>
      <c r="J268">
        <v>0.43280103528368996</v>
      </c>
      <c r="K268">
        <v>0.56104301503786302</v>
      </c>
      <c r="L268">
        <v>0.72462438283403907</v>
      </c>
      <c r="M268">
        <v>0.21566363176787107</v>
      </c>
    </row>
    <row r="269" spans="3:13" x14ac:dyDescent="0.25">
      <c r="C269" s="23">
        <f t="shared" si="0"/>
        <v>14</v>
      </c>
      <c r="D269">
        <v>0.70018314622063349</v>
      </c>
      <c r="E269">
        <v>0.36762148700167796</v>
      </c>
      <c r="F269">
        <v>0.40596525240811543</v>
      </c>
      <c r="G269">
        <v>0.71510092331032349</v>
      </c>
      <c r="H269">
        <v>0.72882238487292061</v>
      </c>
      <c r="I269">
        <v>0.38546887401980545</v>
      </c>
      <c r="J269">
        <v>0.61080680149256827</v>
      </c>
      <c r="K269">
        <v>0.83926228437807782</v>
      </c>
      <c r="L269">
        <v>0.25754637230664446</v>
      </c>
      <c r="M269">
        <v>0.32063895492333949</v>
      </c>
    </row>
    <row r="270" spans="3:13" x14ac:dyDescent="0.25">
      <c r="C270" s="23">
        <f t="shared" si="0"/>
        <v>15</v>
      </c>
      <c r="D270">
        <v>0.73928776292518161</v>
      </c>
      <c r="E270">
        <v>3.7387092707450331E-2</v>
      </c>
      <c r="F270">
        <v>0.52839564840471254</v>
      </c>
      <c r="G270">
        <v>0.19759431128315286</v>
      </c>
      <c r="H270">
        <v>0.91076680020741407</v>
      </c>
      <c r="I270">
        <v>0.66257949506948233</v>
      </c>
      <c r="J270">
        <v>8.349862192704427E-2</v>
      </c>
      <c r="K270">
        <v>0.7148281740520116</v>
      </c>
      <c r="L270">
        <v>0.35704332490305035</v>
      </c>
      <c r="M270">
        <v>0.46898799167279404</v>
      </c>
    </row>
    <row r="271" spans="3:13" x14ac:dyDescent="0.25">
      <c r="C271" s="23">
        <f t="shared" si="0"/>
        <v>16</v>
      </c>
      <c r="D271">
        <v>0.7370960053819029</v>
      </c>
      <c r="E271">
        <v>0.37985740010123736</v>
      </c>
      <c r="F271">
        <v>0.39064947851572229</v>
      </c>
      <c r="G271">
        <v>0.12213735043871343</v>
      </c>
      <c r="H271">
        <v>2.964476556250728E-2</v>
      </c>
      <c r="I271">
        <v>0.94801898956972042</v>
      </c>
      <c r="J271">
        <v>0.55475695668414826</v>
      </c>
      <c r="K271">
        <v>0.733294770685605</v>
      </c>
      <c r="L271">
        <v>0.17228652667688305</v>
      </c>
      <c r="M271">
        <v>0.43558206982107284</v>
      </c>
    </row>
    <row r="272" spans="3:13" x14ac:dyDescent="0.25">
      <c r="C272" s="23">
        <f t="shared" si="0"/>
        <v>17</v>
      </c>
      <c r="D272">
        <v>7.0691705162244545E-2</v>
      </c>
      <c r="E272">
        <v>0.55394557077302164</v>
      </c>
      <c r="F272">
        <v>0.17972920906196543</v>
      </c>
      <c r="G272">
        <v>0.89403471995157024</v>
      </c>
      <c r="H272">
        <v>0.22455237075038359</v>
      </c>
      <c r="I272">
        <v>0.9226818523860284</v>
      </c>
      <c r="J272">
        <v>0.86623939171601039</v>
      </c>
      <c r="K272">
        <v>0.14709655484949447</v>
      </c>
      <c r="L272">
        <v>1.4013614162308174E-3</v>
      </c>
      <c r="M272">
        <v>0.50565198728573846</v>
      </c>
    </row>
    <row r="273" spans="3:13" x14ac:dyDescent="0.25">
      <c r="C273" s="23">
        <f t="shared" si="0"/>
        <v>18</v>
      </c>
      <c r="D273">
        <v>0.9640252847090246</v>
      </c>
      <c r="E273">
        <v>0.3400665174590336</v>
      </c>
      <c r="F273">
        <v>0.3170755676974113</v>
      </c>
      <c r="G273">
        <v>0.12681462486777539</v>
      </c>
      <c r="H273">
        <v>0.36449320453382317</v>
      </c>
      <c r="I273">
        <v>0.94231604644250788</v>
      </c>
      <c r="J273">
        <v>1.0854739894249565E-2</v>
      </c>
      <c r="K273">
        <v>0.81458834565776217</v>
      </c>
      <c r="L273">
        <v>0.84555716766317834</v>
      </c>
      <c r="M273">
        <v>0.61221075288693938</v>
      </c>
    </row>
    <row r="274" spans="3:13" x14ac:dyDescent="0.25">
      <c r="C274" s="23">
        <f t="shared" si="0"/>
        <v>19</v>
      </c>
      <c r="D274">
        <v>0.21794451353620525</v>
      </c>
      <c r="E274">
        <v>0.29397083703077553</v>
      </c>
      <c r="F274">
        <v>0.59236766018332032</v>
      </c>
      <c r="G274">
        <v>0.22462748086875728</v>
      </c>
      <c r="H274">
        <v>0.3136807217177725</v>
      </c>
      <c r="I274">
        <v>0.17522806584356743</v>
      </c>
      <c r="J274">
        <v>0.42219086981316645</v>
      </c>
      <c r="K274">
        <v>0.8265434123760721</v>
      </c>
      <c r="L274">
        <v>0.5958756939369998</v>
      </c>
      <c r="M274">
        <v>0.82559086557860617</v>
      </c>
    </row>
    <row r="275" spans="3:13" x14ac:dyDescent="0.25">
      <c r="C275" s="23">
        <f t="shared" si="0"/>
        <v>20</v>
      </c>
      <c r="D275">
        <v>0.16983121797172507</v>
      </c>
      <c r="E275">
        <v>0.24151405470468124</v>
      </c>
      <c r="F275">
        <v>0.79658930362257707</v>
      </c>
      <c r="G275">
        <v>0.53723169108008606</v>
      </c>
      <c r="H275">
        <v>0.65265577610683589</v>
      </c>
      <c r="I275">
        <v>0.74925018781568664</v>
      </c>
      <c r="J275">
        <v>0.64496763279741454</v>
      </c>
      <c r="K275">
        <v>7.7909585038025475E-2</v>
      </c>
      <c r="L275">
        <v>0.39603384551274989</v>
      </c>
      <c r="M275">
        <v>3.6326666366037763E-4</v>
      </c>
    </row>
    <row r="276" spans="3:13" x14ac:dyDescent="0.25">
      <c r="C276" s="23">
        <f t="shared" si="0"/>
        <v>21</v>
      </c>
      <c r="D276">
        <v>0.20536014231345967</v>
      </c>
      <c r="E276">
        <v>3.4307056942927683E-2</v>
      </c>
      <c r="F276">
        <v>0.84328822268480974</v>
      </c>
      <c r="G276">
        <v>0.61405046549164444</v>
      </c>
      <c r="H276">
        <v>0.32241436980191973</v>
      </c>
      <c r="I276">
        <v>0.95627371075700895</v>
      </c>
      <c r="J276">
        <v>9.9062365799395202E-2</v>
      </c>
      <c r="K276">
        <v>0.67793634293843807</v>
      </c>
      <c r="L276">
        <v>0.72552587564357618</v>
      </c>
      <c r="M276">
        <v>0.55706765668070579</v>
      </c>
    </row>
    <row r="277" spans="3:13" x14ac:dyDescent="0.25">
      <c r="C277" s="23">
        <f t="shared" si="0"/>
        <v>22</v>
      </c>
      <c r="D277">
        <v>0.65752514039370114</v>
      </c>
      <c r="E277">
        <v>0.74151222444548626</v>
      </c>
      <c r="F277">
        <v>0.81704514112039961</v>
      </c>
      <c r="G277">
        <v>0.15773966649250004</v>
      </c>
      <c r="H277">
        <v>0.60440573041199253</v>
      </c>
      <c r="I277">
        <v>0.53075013368935309</v>
      </c>
      <c r="J277">
        <v>0.47445254248973723</v>
      </c>
      <c r="K277">
        <v>0.14299883124691504</v>
      </c>
      <c r="L277">
        <v>0.77188557694030369</v>
      </c>
      <c r="M277">
        <v>0.51383978827302079</v>
      </c>
    </row>
    <row r="278" spans="3:13" x14ac:dyDescent="0.25">
      <c r="C278" s="23">
        <f t="shared" si="0"/>
        <v>23</v>
      </c>
      <c r="D278">
        <v>0.17167161627981242</v>
      </c>
      <c r="E278">
        <v>0.65128025057436068</v>
      </c>
      <c r="F278">
        <v>0.46048502299219052</v>
      </c>
      <c r="G278">
        <v>0.68459829801833827</v>
      </c>
      <c r="H278">
        <v>0.1202787254310993</v>
      </c>
      <c r="I278">
        <v>0.60245566567670528</v>
      </c>
      <c r="J278">
        <v>0.29188476189870249</v>
      </c>
      <c r="K278">
        <v>5.7380616361247916E-2</v>
      </c>
      <c r="L278">
        <v>0.66515359642970051</v>
      </c>
      <c r="M278">
        <v>0.70218462488310407</v>
      </c>
    </row>
    <row r="279" spans="3:13" x14ac:dyDescent="0.25">
      <c r="C279" s="23">
        <f t="shared" si="0"/>
        <v>24</v>
      </c>
      <c r="D279">
        <v>0.92276553551804397</v>
      </c>
      <c r="E279">
        <v>0.97133991230530659</v>
      </c>
      <c r="F279">
        <v>0.95747607931808831</v>
      </c>
      <c r="G279">
        <v>0.60141687387803999</v>
      </c>
      <c r="H279">
        <v>0.64130969800676452</v>
      </c>
      <c r="I279">
        <v>7.3769738560659825E-2</v>
      </c>
      <c r="J279">
        <v>0.53547130787243458</v>
      </c>
      <c r="K279">
        <v>0.91134096298625322</v>
      </c>
      <c r="L279">
        <v>0.84452885138862965</v>
      </c>
      <c r="M279">
        <v>0.42014879955655327</v>
      </c>
    </row>
    <row r="280" spans="3:13" x14ac:dyDescent="0.25">
      <c r="C280" s="23">
        <f t="shared" si="0"/>
        <v>25</v>
      </c>
      <c r="D280">
        <v>0.86791706028779736</v>
      </c>
      <c r="E280">
        <v>0.98153303337011377</v>
      </c>
      <c r="F280">
        <v>0.89204885515778753</v>
      </c>
      <c r="G280">
        <v>0.30768565056160768</v>
      </c>
      <c r="H280">
        <v>0.56129846088570956</v>
      </c>
      <c r="I280">
        <v>0.51005237147369809</v>
      </c>
      <c r="J280">
        <v>0.54299279119091892</v>
      </c>
      <c r="K280">
        <v>0.99987202296540068</v>
      </c>
      <c r="L280">
        <v>0.71365326512522109</v>
      </c>
      <c r="M280">
        <v>3.2171601717387532E-2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4A9FA-B3DA-4E25-9580-0AE89F506112}">
  <dimension ref="A1:M282"/>
  <sheetViews>
    <sheetView tabSelected="1" workbookViewId="0">
      <selection activeCell="B15" sqref="B15"/>
    </sheetView>
  </sheetViews>
  <sheetFormatPr defaultRowHeight="15.75" x14ac:dyDescent="0.25"/>
  <cols>
    <col min="1" max="1" width="16.125" bestFit="1" customWidth="1"/>
    <col min="2" max="2" width="12.25" bestFit="1" customWidth="1"/>
    <col min="3" max="3" width="6.375" bestFit="1" customWidth="1"/>
    <col min="4" max="13" width="11.875" bestFit="1" customWidth="1"/>
  </cols>
  <sheetData>
    <row r="1" spans="1:5" x14ac:dyDescent="0.25">
      <c r="A1" s="21" t="s">
        <v>100</v>
      </c>
      <c r="B1" s="21" t="s">
        <v>98</v>
      </c>
      <c r="C1" s="21" t="s">
        <v>99</v>
      </c>
    </row>
    <row r="3" spans="1:5" x14ac:dyDescent="0.25">
      <c r="A3" s="20" t="s">
        <v>101</v>
      </c>
      <c r="B3" t="s">
        <v>106</v>
      </c>
      <c r="C3" t="s">
        <v>104</v>
      </c>
    </row>
    <row r="4" spans="1:5" x14ac:dyDescent="0.25">
      <c r="A4" s="20"/>
      <c r="B4" t="s">
        <v>49</v>
      </c>
      <c r="C4">
        <v>10</v>
      </c>
    </row>
    <row r="5" spans="1:5" x14ac:dyDescent="0.25">
      <c r="A5" s="20"/>
      <c r="B5" s="26" t="s">
        <v>67</v>
      </c>
      <c r="C5">
        <v>25</v>
      </c>
    </row>
    <row r="6" spans="1:5" x14ac:dyDescent="0.25">
      <c r="A6" s="20"/>
      <c r="B6" s="26"/>
    </row>
    <row r="7" spans="1:5" x14ac:dyDescent="0.25">
      <c r="A7" s="20" t="s">
        <v>102</v>
      </c>
      <c r="B7" t="s">
        <v>106</v>
      </c>
      <c r="C7" s="27" t="s">
        <v>104</v>
      </c>
    </row>
    <row r="8" spans="1:5" x14ac:dyDescent="0.25">
      <c r="A8" s="20"/>
      <c r="B8" t="s">
        <v>67</v>
      </c>
      <c r="C8" s="27">
        <v>25</v>
      </c>
      <c r="D8" s="20"/>
      <c r="E8" s="20"/>
    </row>
    <row r="9" spans="1:5" x14ac:dyDescent="0.25">
      <c r="A9" s="20"/>
      <c r="B9" t="s">
        <v>109</v>
      </c>
      <c r="C9" s="27" t="s">
        <v>104</v>
      </c>
      <c r="D9" s="20"/>
      <c r="E9" s="20"/>
    </row>
    <row r="10" spans="1:5" x14ac:dyDescent="0.25">
      <c r="C10" s="20"/>
    </row>
    <row r="11" spans="1:5" x14ac:dyDescent="0.25">
      <c r="A11" s="20" t="s">
        <v>103</v>
      </c>
      <c r="B11" t="s">
        <v>106</v>
      </c>
      <c r="C11" s="27" t="s">
        <v>104</v>
      </c>
    </row>
    <row r="12" spans="1:5" x14ac:dyDescent="0.25">
      <c r="C12" s="22"/>
    </row>
    <row r="13" spans="1:5" x14ac:dyDescent="0.25">
      <c r="A13" s="20" t="s">
        <v>105</v>
      </c>
      <c r="B13" t="s">
        <v>106</v>
      </c>
      <c r="C13" t="s">
        <v>104</v>
      </c>
    </row>
    <row r="14" spans="1:5" x14ac:dyDescent="0.25">
      <c r="B14" t="s">
        <v>107</v>
      </c>
      <c r="C14" s="27">
        <v>25</v>
      </c>
    </row>
    <row r="15" spans="1:5" x14ac:dyDescent="0.25">
      <c r="B15" t="s">
        <v>110</v>
      </c>
      <c r="C15" s="27">
        <v>10</v>
      </c>
    </row>
    <row r="16" spans="1:5" x14ac:dyDescent="0.25">
      <c r="B16" t="s">
        <v>83</v>
      </c>
      <c r="C16" s="28">
        <v>0.04</v>
      </c>
    </row>
    <row r="17" spans="2:3" x14ac:dyDescent="0.25">
      <c r="B17" t="s">
        <v>109</v>
      </c>
      <c r="C17" s="27" t="s">
        <v>104</v>
      </c>
    </row>
    <row r="18" spans="2:3" x14ac:dyDescent="0.25">
      <c r="C18" s="22"/>
    </row>
    <row r="19" spans="2:3" x14ac:dyDescent="0.25">
      <c r="C19" s="22"/>
    </row>
    <row r="20" spans="2:3" x14ac:dyDescent="0.25">
      <c r="C20" s="22"/>
    </row>
    <row r="21" spans="2:3" x14ac:dyDescent="0.25">
      <c r="C21" s="22"/>
    </row>
    <row r="22" spans="2:3" x14ac:dyDescent="0.25">
      <c r="C22" s="22"/>
    </row>
    <row r="23" spans="2:3" x14ac:dyDescent="0.25">
      <c r="C23" s="22"/>
    </row>
    <row r="24" spans="2:3" x14ac:dyDescent="0.25">
      <c r="C24" s="22"/>
    </row>
    <row r="25" spans="2:3" x14ac:dyDescent="0.25">
      <c r="C25" s="22"/>
    </row>
    <row r="26" spans="2:3" x14ac:dyDescent="0.25">
      <c r="C26" s="22"/>
    </row>
    <row r="27" spans="2:3" x14ac:dyDescent="0.25">
      <c r="C27" s="22"/>
    </row>
    <row r="28" spans="2:3" x14ac:dyDescent="0.25">
      <c r="C28" s="22"/>
    </row>
    <row r="29" spans="2:3" x14ac:dyDescent="0.25">
      <c r="C29" s="22"/>
    </row>
    <row r="30" spans="2:3" x14ac:dyDescent="0.25">
      <c r="C30" s="22"/>
    </row>
    <row r="31" spans="2:3" x14ac:dyDescent="0.25">
      <c r="C31" s="22"/>
    </row>
    <row r="32" spans="2:3" x14ac:dyDescent="0.25">
      <c r="C32" s="22"/>
    </row>
    <row r="33" spans="3:3" x14ac:dyDescent="0.25">
      <c r="C33" s="22"/>
    </row>
    <row r="34" spans="3:3" x14ac:dyDescent="0.25">
      <c r="C34" s="22"/>
    </row>
    <row r="35" spans="3:3" x14ac:dyDescent="0.25">
      <c r="C35" s="22"/>
    </row>
    <row r="36" spans="3:3" x14ac:dyDescent="0.25">
      <c r="C36" s="22"/>
    </row>
    <row r="37" spans="3:3" x14ac:dyDescent="0.25">
      <c r="C37" s="22"/>
    </row>
    <row r="38" spans="3:3" x14ac:dyDescent="0.25">
      <c r="C38" s="22"/>
    </row>
    <row r="39" spans="3:3" x14ac:dyDescent="0.25">
      <c r="C39" s="22"/>
    </row>
    <row r="40" spans="3:3" x14ac:dyDescent="0.25">
      <c r="C40" s="22"/>
    </row>
    <row r="41" spans="3:3" x14ac:dyDescent="0.25">
      <c r="C41" s="22"/>
    </row>
    <row r="42" spans="3:3" x14ac:dyDescent="0.25">
      <c r="C42" s="22"/>
    </row>
    <row r="43" spans="3:3" x14ac:dyDescent="0.25">
      <c r="C43" s="22"/>
    </row>
    <row r="44" spans="3:3" x14ac:dyDescent="0.25">
      <c r="C44" s="22"/>
    </row>
    <row r="45" spans="3:3" x14ac:dyDescent="0.25">
      <c r="C45" s="22"/>
    </row>
    <row r="46" spans="3:3" x14ac:dyDescent="0.25">
      <c r="C46" s="22"/>
    </row>
    <row r="47" spans="3:3" x14ac:dyDescent="0.25">
      <c r="C47" s="22"/>
    </row>
    <row r="48" spans="3:3" x14ac:dyDescent="0.25">
      <c r="C48" s="22"/>
    </row>
    <row r="49" spans="3:3" x14ac:dyDescent="0.25">
      <c r="C49" s="22"/>
    </row>
    <row r="50" spans="3:3" x14ac:dyDescent="0.25">
      <c r="C50" s="22"/>
    </row>
    <row r="51" spans="3:3" x14ac:dyDescent="0.25">
      <c r="C51" s="22"/>
    </row>
    <row r="52" spans="3:3" x14ac:dyDescent="0.25">
      <c r="C52" s="22"/>
    </row>
    <row r="53" spans="3:3" x14ac:dyDescent="0.25">
      <c r="C53" s="22"/>
    </row>
    <row r="54" spans="3:3" x14ac:dyDescent="0.25">
      <c r="C54" s="22"/>
    </row>
    <row r="55" spans="3:3" x14ac:dyDescent="0.25">
      <c r="C55" s="22"/>
    </row>
    <row r="56" spans="3:3" x14ac:dyDescent="0.25">
      <c r="C56" s="22"/>
    </row>
    <row r="57" spans="3:3" x14ac:dyDescent="0.25">
      <c r="C57" s="22"/>
    </row>
    <row r="58" spans="3:3" x14ac:dyDescent="0.25">
      <c r="C58" s="22"/>
    </row>
    <row r="59" spans="3:3" x14ac:dyDescent="0.25">
      <c r="C59" s="22"/>
    </row>
    <row r="60" spans="3:3" x14ac:dyDescent="0.25">
      <c r="C60" s="22"/>
    </row>
    <row r="61" spans="3:3" x14ac:dyDescent="0.25">
      <c r="C61" s="22"/>
    </row>
    <row r="62" spans="3:3" x14ac:dyDescent="0.25">
      <c r="C62" s="22"/>
    </row>
    <row r="63" spans="3:3" x14ac:dyDescent="0.25">
      <c r="C63" s="22"/>
    </row>
    <row r="64" spans="3:3" x14ac:dyDescent="0.25">
      <c r="C64" s="22"/>
    </row>
    <row r="65" spans="3:3" x14ac:dyDescent="0.25">
      <c r="C65" s="22"/>
    </row>
    <row r="66" spans="3:3" x14ac:dyDescent="0.25">
      <c r="C66" s="22"/>
    </row>
    <row r="67" spans="3:3" x14ac:dyDescent="0.25">
      <c r="C67" s="22"/>
    </row>
    <row r="68" spans="3:3" x14ac:dyDescent="0.25">
      <c r="C68" s="22"/>
    </row>
    <row r="69" spans="3:3" x14ac:dyDescent="0.25">
      <c r="C69" s="22"/>
    </row>
    <row r="70" spans="3:3" x14ac:dyDescent="0.25">
      <c r="C70" s="22"/>
    </row>
    <row r="71" spans="3:3" x14ac:dyDescent="0.25">
      <c r="C71" s="22"/>
    </row>
    <row r="72" spans="3:3" x14ac:dyDescent="0.25">
      <c r="C72" s="22"/>
    </row>
    <row r="73" spans="3:3" x14ac:dyDescent="0.25">
      <c r="C73" s="22"/>
    </row>
    <row r="74" spans="3:3" x14ac:dyDescent="0.25">
      <c r="C74" s="22"/>
    </row>
    <row r="75" spans="3:3" x14ac:dyDescent="0.25">
      <c r="C75" s="22"/>
    </row>
    <row r="76" spans="3:3" x14ac:dyDescent="0.25">
      <c r="C76" s="22"/>
    </row>
    <row r="77" spans="3:3" x14ac:dyDescent="0.25">
      <c r="C77" s="22"/>
    </row>
    <row r="78" spans="3:3" x14ac:dyDescent="0.25">
      <c r="C78" s="22"/>
    </row>
    <row r="79" spans="3:3" x14ac:dyDescent="0.25">
      <c r="C79" s="22"/>
    </row>
    <row r="80" spans="3:3" x14ac:dyDescent="0.25">
      <c r="C80" s="22"/>
    </row>
    <row r="81" spans="3:3" x14ac:dyDescent="0.25">
      <c r="C81" s="22"/>
    </row>
    <row r="82" spans="3:3" x14ac:dyDescent="0.25">
      <c r="C82" s="22"/>
    </row>
    <row r="83" spans="3:3" x14ac:dyDescent="0.25">
      <c r="C83" s="22"/>
    </row>
    <row r="84" spans="3:3" x14ac:dyDescent="0.25">
      <c r="C84" s="22"/>
    </row>
    <row r="85" spans="3:3" x14ac:dyDescent="0.25">
      <c r="C85" s="22"/>
    </row>
    <row r="86" spans="3:3" x14ac:dyDescent="0.25">
      <c r="C86" s="22"/>
    </row>
    <row r="87" spans="3:3" x14ac:dyDescent="0.25">
      <c r="C87" s="22"/>
    </row>
    <row r="88" spans="3:3" x14ac:dyDescent="0.25">
      <c r="C88" s="22"/>
    </row>
    <row r="89" spans="3:3" x14ac:dyDescent="0.25">
      <c r="C89" s="22"/>
    </row>
    <row r="90" spans="3:3" x14ac:dyDescent="0.25">
      <c r="C90" s="22"/>
    </row>
    <row r="91" spans="3:3" x14ac:dyDescent="0.25">
      <c r="C91" s="22"/>
    </row>
    <row r="92" spans="3:3" x14ac:dyDescent="0.25">
      <c r="C92" s="22"/>
    </row>
    <row r="93" spans="3:3" x14ac:dyDescent="0.25">
      <c r="C93" s="22"/>
    </row>
    <row r="94" spans="3:3" x14ac:dyDescent="0.25">
      <c r="C94" s="22"/>
    </row>
    <row r="95" spans="3:3" x14ac:dyDescent="0.25">
      <c r="C95" s="22"/>
    </row>
    <row r="96" spans="3:3" x14ac:dyDescent="0.25">
      <c r="C96" s="22"/>
    </row>
    <row r="97" spans="3:3" x14ac:dyDescent="0.25">
      <c r="C97" s="22"/>
    </row>
    <row r="98" spans="3:3" x14ac:dyDescent="0.25">
      <c r="C98" s="22"/>
    </row>
    <row r="99" spans="3:3" x14ac:dyDescent="0.25">
      <c r="C99" s="22"/>
    </row>
    <row r="100" spans="3:3" x14ac:dyDescent="0.25">
      <c r="C100" s="22"/>
    </row>
    <row r="101" spans="3:3" x14ac:dyDescent="0.25">
      <c r="C101" s="22"/>
    </row>
    <row r="102" spans="3:3" x14ac:dyDescent="0.25">
      <c r="C102" s="22"/>
    </row>
    <row r="103" spans="3:3" x14ac:dyDescent="0.25">
      <c r="C103" s="22"/>
    </row>
    <row r="104" spans="3:3" x14ac:dyDescent="0.25">
      <c r="C104" s="22"/>
    </row>
    <row r="105" spans="3:3" x14ac:dyDescent="0.25">
      <c r="C105" s="22"/>
    </row>
    <row r="106" spans="3:3" x14ac:dyDescent="0.25">
      <c r="C106" s="22"/>
    </row>
    <row r="107" spans="3:3" x14ac:dyDescent="0.25">
      <c r="C107" s="22"/>
    </row>
    <row r="108" spans="3:3" x14ac:dyDescent="0.25">
      <c r="C108" s="22"/>
    </row>
    <row r="109" spans="3:3" x14ac:dyDescent="0.25">
      <c r="C109" s="22"/>
    </row>
    <row r="110" spans="3:3" x14ac:dyDescent="0.25">
      <c r="C110" s="22"/>
    </row>
    <row r="111" spans="3:3" x14ac:dyDescent="0.25">
      <c r="C111" s="22"/>
    </row>
    <row r="112" spans="3:3" x14ac:dyDescent="0.25">
      <c r="C112" s="22"/>
    </row>
    <row r="113" spans="3:3" x14ac:dyDescent="0.25">
      <c r="C113" s="22"/>
    </row>
    <row r="114" spans="3:3" x14ac:dyDescent="0.25">
      <c r="C114" s="22"/>
    </row>
    <row r="115" spans="3:3" x14ac:dyDescent="0.25">
      <c r="C115" s="22"/>
    </row>
    <row r="116" spans="3:3" x14ac:dyDescent="0.25">
      <c r="C116" s="22"/>
    </row>
    <row r="117" spans="3:3" x14ac:dyDescent="0.25">
      <c r="C117" s="22"/>
    </row>
    <row r="118" spans="3:3" x14ac:dyDescent="0.25">
      <c r="C118" s="22"/>
    </row>
    <row r="119" spans="3:3" x14ac:dyDescent="0.25">
      <c r="C119" s="22"/>
    </row>
    <row r="120" spans="3:3" x14ac:dyDescent="0.25">
      <c r="C120" s="22"/>
    </row>
    <row r="121" spans="3:3" x14ac:dyDescent="0.25">
      <c r="C121" s="22"/>
    </row>
    <row r="122" spans="3:3" x14ac:dyDescent="0.25">
      <c r="C122" s="22"/>
    </row>
    <row r="123" spans="3:3" x14ac:dyDescent="0.25">
      <c r="C123" s="22"/>
    </row>
    <row r="124" spans="3:3" x14ac:dyDescent="0.25">
      <c r="C124" s="22"/>
    </row>
    <row r="125" spans="3:3" x14ac:dyDescent="0.25">
      <c r="C125" s="22"/>
    </row>
    <row r="126" spans="3:3" x14ac:dyDescent="0.25">
      <c r="C126" s="22"/>
    </row>
    <row r="127" spans="3:3" x14ac:dyDescent="0.25">
      <c r="C127" s="22"/>
    </row>
    <row r="128" spans="3:3" x14ac:dyDescent="0.25">
      <c r="C128" s="22"/>
    </row>
    <row r="129" spans="1:5" x14ac:dyDescent="0.25">
      <c r="C129" s="22"/>
    </row>
    <row r="130" spans="1:5" x14ac:dyDescent="0.25">
      <c r="C130" s="22"/>
    </row>
    <row r="131" spans="1:5" x14ac:dyDescent="0.25">
      <c r="C131" s="22"/>
    </row>
    <row r="133" spans="1:5" x14ac:dyDescent="0.25">
      <c r="A133" s="20"/>
      <c r="C133" s="20"/>
      <c r="D133" s="20"/>
      <c r="E133" s="20"/>
    </row>
    <row r="134" spans="1:5" x14ac:dyDescent="0.25">
      <c r="C134" s="22"/>
    </row>
    <row r="135" spans="1:5" x14ac:dyDescent="0.25">
      <c r="C135" s="22"/>
    </row>
    <row r="136" spans="1:5" x14ac:dyDescent="0.25">
      <c r="C136" s="22"/>
    </row>
    <row r="137" spans="1:5" x14ac:dyDescent="0.25">
      <c r="C137" s="22"/>
    </row>
    <row r="138" spans="1:5" x14ac:dyDescent="0.25">
      <c r="C138" s="22"/>
    </row>
    <row r="139" spans="1:5" x14ac:dyDescent="0.25">
      <c r="C139" s="22"/>
    </row>
    <row r="140" spans="1:5" x14ac:dyDescent="0.25">
      <c r="C140" s="22"/>
    </row>
    <row r="141" spans="1:5" x14ac:dyDescent="0.25">
      <c r="C141" s="22"/>
    </row>
    <row r="142" spans="1:5" x14ac:dyDescent="0.25">
      <c r="C142" s="22"/>
    </row>
    <row r="143" spans="1:5" x14ac:dyDescent="0.25">
      <c r="C143" s="22"/>
    </row>
    <row r="144" spans="1:5" x14ac:dyDescent="0.25">
      <c r="C144" s="22"/>
    </row>
    <row r="145" spans="3:3" x14ac:dyDescent="0.25">
      <c r="C145" s="22"/>
    </row>
    <row r="146" spans="3:3" x14ac:dyDescent="0.25">
      <c r="C146" s="22"/>
    </row>
    <row r="147" spans="3:3" x14ac:dyDescent="0.25">
      <c r="C147" s="22"/>
    </row>
    <row r="148" spans="3:3" x14ac:dyDescent="0.25">
      <c r="C148" s="22"/>
    </row>
    <row r="149" spans="3:3" x14ac:dyDescent="0.25">
      <c r="C149" s="22"/>
    </row>
    <row r="150" spans="3:3" x14ac:dyDescent="0.25">
      <c r="C150" s="22"/>
    </row>
    <row r="151" spans="3:3" x14ac:dyDescent="0.25">
      <c r="C151" s="22"/>
    </row>
    <row r="152" spans="3:3" x14ac:dyDescent="0.25">
      <c r="C152" s="22"/>
    </row>
    <row r="153" spans="3:3" x14ac:dyDescent="0.25">
      <c r="C153" s="22"/>
    </row>
    <row r="154" spans="3:3" x14ac:dyDescent="0.25">
      <c r="C154" s="22"/>
    </row>
    <row r="155" spans="3:3" x14ac:dyDescent="0.25">
      <c r="C155" s="22"/>
    </row>
    <row r="156" spans="3:3" x14ac:dyDescent="0.25">
      <c r="C156" s="22"/>
    </row>
    <row r="157" spans="3:3" x14ac:dyDescent="0.25">
      <c r="C157" s="22"/>
    </row>
    <row r="158" spans="3:3" x14ac:dyDescent="0.25">
      <c r="C158" s="22"/>
    </row>
    <row r="159" spans="3:3" x14ac:dyDescent="0.25">
      <c r="C159" s="22"/>
    </row>
    <row r="160" spans="3:3" x14ac:dyDescent="0.25">
      <c r="C160" s="22"/>
    </row>
    <row r="161" spans="3:3" x14ac:dyDescent="0.25">
      <c r="C161" s="22"/>
    </row>
    <row r="162" spans="3:3" x14ac:dyDescent="0.25">
      <c r="C162" s="22"/>
    </row>
    <row r="163" spans="3:3" x14ac:dyDescent="0.25">
      <c r="C163" s="22"/>
    </row>
    <row r="164" spans="3:3" x14ac:dyDescent="0.25">
      <c r="C164" s="22"/>
    </row>
    <row r="165" spans="3:3" x14ac:dyDescent="0.25">
      <c r="C165" s="22"/>
    </row>
    <row r="166" spans="3:3" x14ac:dyDescent="0.25">
      <c r="C166" s="22"/>
    </row>
    <row r="167" spans="3:3" x14ac:dyDescent="0.25">
      <c r="C167" s="22"/>
    </row>
    <row r="168" spans="3:3" x14ac:dyDescent="0.25">
      <c r="C168" s="22"/>
    </row>
    <row r="169" spans="3:3" x14ac:dyDescent="0.25">
      <c r="C169" s="22"/>
    </row>
    <row r="170" spans="3:3" x14ac:dyDescent="0.25">
      <c r="C170" s="22"/>
    </row>
    <row r="171" spans="3:3" x14ac:dyDescent="0.25">
      <c r="C171" s="22"/>
    </row>
    <row r="172" spans="3:3" x14ac:dyDescent="0.25">
      <c r="C172" s="22"/>
    </row>
    <row r="173" spans="3:3" x14ac:dyDescent="0.25">
      <c r="C173" s="22"/>
    </row>
    <row r="174" spans="3:3" x14ac:dyDescent="0.25">
      <c r="C174" s="22"/>
    </row>
    <row r="175" spans="3:3" x14ac:dyDescent="0.25">
      <c r="C175" s="22"/>
    </row>
    <row r="176" spans="3:3" x14ac:dyDescent="0.25">
      <c r="C176" s="22"/>
    </row>
    <row r="177" spans="3:3" x14ac:dyDescent="0.25">
      <c r="C177" s="22"/>
    </row>
    <row r="178" spans="3:3" x14ac:dyDescent="0.25">
      <c r="C178" s="22"/>
    </row>
    <row r="179" spans="3:3" x14ac:dyDescent="0.25">
      <c r="C179" s="22"/>
    </row>
    <row r="180" spans="3:3" x14ac:dyDescent="0.25">
      <c r="C180" s="22"/>
    </row>
    <row r="181" spans="3:3" x14ac:dyDescent="0.25">
      <c r="C181" s="22"/>
    </row>
    <row r="182" spans="3:3" x14ac:dyDescent="0.25">
      <c r="C182" s="22"/>
    </row>
    <row r="183" spans="3:3" x14ac:dyDescent="0.25">
      <c r="C183" s="22"/>
    </row>
    <row r="184" spans="3:3" x14ac:dyDescent="0.25">
      <c r="C184" s="22"/>
    </row>
    <row r="185" spans="3:3" x14ac:dyDescent="0.25">
      <c r="C185" s="22"/>
    </row>
    <row r="186" spans="3:3" x14ac:dyDescent="0.25">
      <c r="C186" s="22"/>
    </row>
    <row r="187" spans="3:3" x14ac:dyDescent="0.25">
      <c r="C187" s="22"/>
    </row>
    <row r="188" spans="3:3" x14ac:dyDescent="0.25">
      <c r="C188" s="22"/>
    </row>
    <row r="189" spans="3:3" x14ac:dyDescent="0.25">
      <c r="C189" s="22"/>
    </row>
    <row r="190" spans="3:3" x14ac:dyDescent="0.25">
      <c r="C190" s="22"/>
    </row>
    <row r="191" spans="3:3" x14ac:dyDescent="0.25">
      <c r="C191" s="22"/>
    </row>
    <row r="192" spans="3:3" x14ac:dyDescent="0.25">
      <c r="C192" s="22"/>
    </row>
    <row r="193" spans="3:3" x14ac:dyDescent="0.25">
      <c r="C193" s="22"/>
    </row>
    <row r="194" spans="3:3" x14ac:dyDescent="0.25">
      <c r="C194" s="22"/>
    </row>
    <row r="195" spans="3:3" x14ac:dyDescent="0.25">
      <c r="C195" s="22"/>
    </row>
    <row r="196" spans="3:3" x14ac:dyDescent="0.25">
      <c r="C196" s="22"/>
    </row>
    <row r="197" spans="3:3" x14ac:dyDescent="0.25">
      <c r="C197" s="22"/>
    </row>
    <row r="198" spans="3:3" x14ac:dyDescent="0.25">
      <c r="C198" s="22"/>
    </row>
    <row r="199" spans="3:3" x14ac:dyDescent="0.25">
      <c r="C199" s="22"/>
    </row>
    <row r="200" spans="3:3" x14ac:dyDescent="0.25">
      <c r="C200" s="22"/>
    </row>
    <row r="201" spans="3:3" x14ac:dyDescent="0.25">
      <c r="C201" s="22"/>
    </row>
    <row r="202" spans="3:3" x14ac:dyDescent="0.25">
      <c r="C202" s="22"/>
    </row>
    <row r="203" spans="3:3" x14ac:dyDescent="0.25">
      <c r="C203" s="22"/>
    </row>
    <row r="204" spans="3:3" x14ac:dyDescent="0.25">
      <c r="C204" s="22"/>
    </row>
    <row r="205" spans="3:3" x14ac:dyDescent="0.25">
      <c r="C205" s="22"/>
    </row>
    <row r="206" spans="3:3" x14ac:dyDescent="0.25">
      <c r="C206" s="22"/>
    </row>
    <row r="207" spans="3:3" x14ac:dyDescent="0.25">
      <c r="C207" s="22"/>
    </row>
    <row r="208" spans="3:3" x14ac:dyDescent="0.25">
      <c r="C208" s="22"/>
    </row>
    <row r="209" spans="3:3" x14ac:dyDescent="0.25">
      <c r="C209" s="22"/>
    </row>
    <row r="210" spans="3:3" x14ac:dyDescent="0.25">
      <c r="C210" s="22"/>
    </row>
    <row r="211" spans="3:3" x14ac:dyDescent="0.25">
      <c r="C211" s="22"/>
    </row>
    <row r="212" spans="3:3" x14ac:dyDescent="0.25">
      <c r="C212" s="22"/>
    </row>
    <row r="213" spans="3:3" x14ac:dyDescent="0.25">
      <c r="C213" s="22"/>
    </row>
    <row r="214" spans="3:3" x14ac:dyDescent="0.25">
      <c r="C214" s="22"/>
    </row>
    <row r="215" spans="3:3" x14ac:dyDescent="0.25">
      <c r="C215" s="22"/>
    </row>
    <row r="216" spans="3:3" x14ac:dyDescent="0.25">
      <c r="C216" s="22"/>
    </row>
    <row r="217" spans="3:3" x14ac:dyDescent="0.25">
      <c r="C217" s="22"/>
    </row>
    <row r="218" spans="3:3" x14ac:dyDescent="0.25">
      <c r="C218" s="22"/>
    </row>
    <row r="219" spans="3:3" x14ac:dyDescent="0.25">
      <c r="C219" s="22"/>
    </row>
    <row r="220" spans="3:3" x14ac:dyDescent="0.25">
      <c r="C220" s="22"/>
    </row>
    <row r="221" spans="3:3" x14ac:dyDescent="0.25">
      <c r="C221" s="22"/>
    </row>
    <row r="222" spans="3:3" x14ac:dyDescent="0.25">
      <c r="C222" s="22"/>
    </row>
    <row r="223" spans="3:3" x14ac:dyDescent="0.25">
      <c r="C223" s="22"/>
    </row>
    <row r="224" spans="3:3" x14ac:dyDescent="0.25">
      <c r="C224" s="22"/>
    </row>
    <row r="225" spans="3:3" x14ac:dyDescent="0.25">
      <c r="C225" s="22"/>
    </row>
    <row r="226" spans="3:3" x14ac:dyDescent="0.25">
      <c r="C226" s="22"/>
    </row>
    <row r="227" spans="3:3" x14ac:dyDescent="0.25">
      <c r="C227" s="22"/>
    </row>
    <row r="228" spans="3:3" x14ac:dyDescent="0.25">
      <c r="C228" s="22"/>
    </row>
    <row r="229" spans="3:3" x14ac:dyDescent="0.25">
      <c r="C229" s="22"/>
    </row>
    <row r="230" spans="3:3" x14ac:dyDescent="0.25">
      <c r="C230" s="22"/>
    </row>
    <row r="231" spans="3:3" x14ac:dyDescent="0.25">
      <c r="C231" s="22"/>
    </row>
    <row r="232" spans="3:3" x14ac:dyDescent="0.25">
      <c r="C232" s="22"/>
    </row>
    <row r="233" spans="3:3" x14ac:dyDescent="0.25">
      <c r="C233" s="22"/>
    </row>
    <row r="234" spans="3:3" x14ac:dyDescent="0.25">
      <c r="C234" s="22"/>
    </row>
    <row r="235" spans="3:3" x14ac:dyDescent="0.25">
      <c r="C235" s="22"/>
    </row>
    <row r="236" spans="3:3" x14ac:dyDescent="0.25">
      <c r="C236" s="22"/>
    </row>
    <row r="237" spans="3:3" x14ac:dyDescent="0.25">
      <c r="C237" s="22"/>
    </row>
    <row r="238" spans="3:3" x14ac:dyDescent="0.25">
      <c r="C238" s="22"/>
    </row>
    <row r="239" spans="3:3" x14ac:dyDescent="0.25">
      <c r="C239" s="22"/>
    </row>
    <row r="240" spans="3:3" x14ac:dyDescent="0.25">
      <c r="C240" s="22"/>
    </row>
    <row r="241" spans="3:3" x14ac:dyDescent="0.25">
      <c r="C241" s="22"/>
    </row>
    <row r="242" spans="3:3" x14ac:dyDescent="0.25">
      <c r="C242" s="22"/>
    </row>
    <row r="243" spans="3:3" x14ac:dyDescent="0.25">
      <c r="C243" s="22"/>
    </row>
    <row r="244" spans="3:3" x14ac:dyDescent="0.25">
      <c r="C244" s="22"/>
    </row>
    <row r="245" spans="3:3" x14ac:dyDescent="0.25">
      <c r="C245" s="22"/>
    </row>
    <row r="246" spans="3:3" x14ac:dyDescent="0.25">
      <c r="C246" s="22"/>
    </row>
    <row r="247" spans="3:3" x14ac:dyDescent="0.25">
      <c r="C247" s="22"/>
    </row>
    <row r="248" spans="3:3" x14ac:dyDescent="0.25">
      <c r="C248" s="22"/>
    </row>
    <row r="249" spans="3:3" x14ac:dyDescent="0.25">
      <c r="C249" s="22"/>
    </row>
    <row r="250" spans="3:3" x14ac:dyDescent="0.25">
      <c r="C250" s="22"/>
    </row>
    <row r="251" spans="3:3" x14ac:dyDescent="0.25">
      <c r="C251" s="22"/>
    </row>
    <row r="252" spans="3:3" x14ac:dyDescent="0.25">
      <c r="C252" s="22"/>
    </row>
    <row r="253" spans="3:3" x14ac:dyDescent="0.25">
      <c r="C253" s="22"/>
    </row>
    <row r="254" spans="3:3" x14ac:dyDescent="0.25">
      <c r="C254" s="22"/>
    </row>
    <row r="255" spans="3:3" x14ac:dyDescent="0.25">
      <c r="C255" s="22"/>
    </row>
    <row r="257" spans="1:13" x14ac:dyDescent="0.25">
      <c r="A257" s="20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</row>
    <row r="258" spans="1:13" x14ac:dyDescent="0.25">
      <c r="C258" s="23"/>
    </row>
    <row r="259" spans="1:13" x14ac:dyDescent="0.25">
      <c r="C259" s="23"/>
    </row>
    <row r="260" spans="1:13" x14ac:dyDescent="0.25">
      <c r="C260" s="23"/>
    </row>
    <row r="261" spans="1:13" x14ac:dyDescent="0.25">
      <c r="C261" s="23"/>
    </row>
    <row r="262" spans="1:13" x14ac:dyDescent="0.25">
      <c r="C262" s="23"/>
    </row>
    <row r="263" spans="1:13" x14ac:dyDescent="0.25">
      <c r="C263" s="23"/>
    </row>
    <row r="264" spans="1:13" x14ac:dyDescent="0.25">
      <c r="C264" s="23"/>
    </row>
    <row r="265" spans="1:13" x14ac:dyDescent="0.25">
      <c r="C265" s="23"/>
    </row>
    <row r="266" spans="1:13" x14ac:dyDescent="0.25">
      <c r="C266" s="23"/>
    </row>
    <row r="267" spans="1:13" x14ac:dyDescent="0.25">
      <c r="C267" s="23"/>
    </row>
    <row r="268" spans="1:13" x14ac:dyDescent="0.25">
      <c r="C268" s="23"/>
    </row>
    <row r="269" spans="1:13" x14ac:dyDescent="0.25">
      <c r="C269" s="23"/>
    </row>
    <row r="270" spans="1:13" x14ac:dyDescent="0.25">
      <c r="C270" s="23"/>
    </row>
    <row r="271" spans="1:13" x14ac:dyDescent="0.25">
      <c r="C271" s="23"/>
    </row>
    <row r="272" spans="1:13" x14ac:dyDescent="0.25">
      <c r="C272" s="23"/>
    </row>
    <row r="273" spans="3:3" x14ac:dyDescent="0.25">
      <c r="C273" s="23"/>
    </row>
    <row r="274" spans="3:3" x14ac:dyDescent="0.25">
      <c r="C274" s="23"/>
    </row>
    <row r="275" spans="3:3" x14ac:dyDescent="0.25">
      <c r="C275" s="23"/>
    </row>
    <row r="276" spans="3:3" x14ac:dyDescent="0.25">
      <c r="C276" s="23"/>
    </row>
    <row r="277" spans="3:3" x14ac:dyDescent="0.25">
      <c r="C277" s="23"/>
    </row>
    <row r="278" spans="3:3" x14ac:dyDescent="0.25">
      <c r="C278" s="23"/>
    </row>
    <row r="279" spans="3:3" x14ac:dyDescent="0.25">
      <c r="C279" s="23"/>
    </row>
    <row r="280" spans="3:3" x14ac:dyDescent="0.25">
      <c r="C280" s="23"/>
    </row>
    <row r="281" spans="3:3" x14ac:dyDescent="0.25">
      <c r="C281" s="23"/>
    </row>
    <row r="282" spans="3:3" x14ac:dyDescent="0.25">
      <c r="C282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Annuity_Model">
                <anchor moveWithCells="1" sizeWithCells="1">
                  <from>
                    <xdr:col>4</xdr:col>
                    <xdr:colOff>66675</xdr:colOff>
                    <xdr:row>1</xdr:row>
                    <xdr:rowOff>47625</xdr:rowOff>
                  </from>
                  <to>
                    <xdr:col>5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CC8F7-AE59-8A41-8A5F-4EA0F1AC3F91}">
  <sheetPr codeName="Sheet5"/>
  <dimension ref="A1:K66"/>
  <sheetViews>
    <sheetView workbookViewId="0">
      <pane ySplit="5" topLeftCell="A6" activePane="bottomLeft" state="frozen"/>
      <selection pane="bottomLeft" activeCell="L9" sqref="L9"/>
    </sheetView>
  </sheetViews>
  <sheetFormatPr defaultColWidth="11" defaultRowHeight="15.75" x14ac:dyDescent="0.25"/>
  <cols>
    <col min="1" max="2" width="9.625" style="1" customWidth="1"/>
    <col min="3" max="10" width="13.875" style="1" customWidth="1"/>
  </cols>
  <sheetData>
    <row r="1" spans="1:11" x14ac:dyDescent="0.25">
      <c r="A1" s="8" t="s">
        <v>49</v>
      </c>
      <c r="B1" s="1">
        <v>10</v>
      </c>
      <c r="C1" s="3"/>
      <c r="D1" s="8" t="s">
        <v>67</v>
      </c>
      <c r="E1" s="1">
        <v>25</v>
      </c>
      <c r="F1" s="3"/>
    </row>
    <row r="2" spans="1:11" x14ac:dyDescent="0.25">
      <c r="A2" s="8" t="s">
        <v>45</v>
      </c>
      <c r="B2" s="1" t="s">
        <v>47</v>
      </c>
      <c r="C2" s="3"/>
      <c r="D2" s="8" t="s">
        <v>68</v>
      </c>
      <c r="E2" s="1">
        <v>3.2171601717387532E-2</v>
      </c>
    </row>
    <row r="3" spans="1:11" x14ac:dyDescent="0.25">
      <c r="A3" s="8" t="s">
        <v>56</v>
      </c>
      <c r="B3" s="4">
        <v>96000</v>
      </c>
      <c r="G3" s="38" t="s">
        <v>62</v>
      </c>
      <c r="H3" s="38"/>
    </row>
    <row r="4" spans="1:11" x14ac:dyDescent="0.25">
      <c r="A4" s="8"/>
      <c r="B4" s="4"/>
      <c r="G4" s="1" t="s">
        <v>63</v>
      </c>
      <c r="H4" s="1" t="s">
        <v>64</v>
      </c>
      <c r="I4" s="1" t="s">
        <v>65</v>
      </c>
      <c r="K4" s="1"/>
    </row>
    <row r="5" spans="1:11" s="1" customFormat="1" x14ac:dyDescent="0.25">
      <c r="A5" s="1" t="s">
        <v>50</v>
      </c>
      <c r="B5" s="1" t="s">
        <v>60</v>
      </c>
      <c r="C5" s="1" t="s">
        <v>51</v>
      </c>
      <c r="D5" s="1" t="s">
        <v>52</v>
      </c>
      <c r="E5" s="1" t="s">
        <v>53</v>
      </c>
      <c r="F5" s="1" t="s">
        <v>54</v>
      </c>
      <c r="G5" s="1" t="s">
        <v>55</v>
      </c>
      <c r="H5" s="1" t="s">
        <v>61</v>
      </c>
      <c r="I5" s="1" t="s">
        <v>66</v>
      </c>
      <c r="J5" s="1" t="s">
        <v>57</v>
      </c>
    </row>
    <row r="6" spans="1:11" x14ac:dyDescent="0.25">
      <c r="A6" s="1">
        <v>2025</v>
      </c>
      <c r="B6" s="1">
        <v>68</v>
      </c>
      <c r="C6" s="1" t="s">
        <v>4</v>
      </c>
      <c r="D6" s="1">
        <v>0.84357360943707882</v>
      </c>
      <c r="E6" s="1">
        <v>7.149286339979243E-3</v>
      </c>
      <c r="F6" s="1">
        <v>0.99285071366002076</v>
      </c>
      <c r="G6" s="1">
        <v>0.99285071366002076</v>
      </c>
      <c r="H6" s="1">
        <v>7.1492863399792439E-3</v>
      </c>
      <c r="I6" s="7">
        <v>1</v>
      </c>
      <c r="J6" s="7">
        <v>96000</v>
      </c>
      <c r="K6" s="1"/>
    </row>
    <row r="7" spans="1:11" x14ac:dyDescent="0.25">
      <c r="A7" s="1">
        <v>2026</v>
      </c>
      <c r="B7" s="1">
        <v>69</v>
      </c>
      <c r="C7" s="1" t="s">
        <v>5</v>
      </c>
      <c r="D7" s="1">
        <v>0.83260715251439676</v>
      </c>
      <c r="E7" s="1">
        <v>7.6882944463179392E-3</v>
      </c>
      <c r="F7" s="1">
        <v>0.99231170555368209</v>
      </c>
      <c r="G7" s="1">
        <v>0.9852173850321656</v>
      </c>
      <c r="H7" s="1">
        <v>1.4782614967834395E-2</v>
      </c>
      <c r="I7" s="7">
        <v>1</v>
      </c>
      <c r="J7" s="7">
        <v>96000</v>
      </c>
      <c r="K7" s="1"/>
    </row>
    <row r="8" spans="1:11" x14ac:dyDescent="0.25">
      <c r="A8" s="1">
        <v>2027</v>
      </c>
      <c r="B8" s="1">
        <v>70</v>
      </c>
      <c r="C8" s="1" t="s">
        <v>6</v>
      </c>
      <c r="D8" s="1">
        <v>0.82178325953170961</v>
      </c>
      <c r="E8" s="1">
        <v>8.2860406058582279E-3</v>
      </c>
      <c r="F8" s="1">
        <v>0.99171395939414175</v>
      </c>
      <c r="G8" s="1">
        <v>0.97705383377419164</v>
      </c>
      <c r="H8" s="1">
        <v>2.2946166225808362E-2</v>
      </c>
      <c r="I8" s="7">
        <v>1</v>
      </c>
      <c r="J8" s="7">
        <v>96000</v>
      </c>
      <c r="K8" s="1"/>
    </row>
    <row r="9" spans="1:11" x14ac:dyDescent="0.25">
      <c r="A9" s="1">
        <v>2028</v>
      </c>
      <c r="B9" s="1">
        <v>71</v>
      </c>
      <c r="C9" s="1" t="s">
        <v>7</v>
      </c>
      <c r="D9" s="1">
        <v>0.81110007715779731</v>
      </c>
      <c r="E9" s="1">
        <v>8.9310229495845068E-3</v>
      </c>
      <c r="F9" s="1">
        <v>0.99106897705041552</v>
      </c>
      <c r="G9" s="1">
        <v>0.96832774356177487</v>
      </c>
      <c r="H9" s="1">
        <v>3.1672256438225133E-2</v>
      </c>
      <c r="I9" s="7">
        <v>1</v>
      </c>
      <c r="J9" s="7">
        <v>96000</v>
      </c>
      <c r="K9" s="1"/>
    </row>
    <row r="10" spans="1:11" x14ac:dyDescent="0.25">
      <c r="A10" s="1">
        <v>2029</v>
      </c>
      <c r="B10" s="1">
        <v>72</v>
      </c>
      <c r="C10" s="1" t="s">
        <v>8</v>
      </c>
      <c r="D10" s="1">
        <v>0.80055577615474594</v>
      </c>
      <c r="E10" s="1">
        <v>9.6306859871415941E-3</v>
      </c>
      <c r="F10" s="1">
        <v>0.99036931401285844</v>
      </c>
      <c r="G10" s="1">
        <v>0.95900208313089408</v>
      </c>
      <c r="H10" s="1">
        <v>4.0997916869105921E-2</v>
      </c>
      <c r="I10" s="7">
        <v>0</v>
      </c>
      <c r="J10" s="7">
        <v>0</v>
      </c>
      <c r="K10" s="1"/>
    </row>
    <row r="11" spans="1:11" x14ac:dyDescent="0.25">
      <c r="A11" s="1">
        <v>2030</v>
      </c>
      <c r="B11" s="1">
        <v>73</v>
      </c>
      <c r="C11" s="1" t="s">
        <v>9</v>
      </c>
      <c r="D11" s="1">
        <v>0.79014855106473425</v>
      </c>
      <c r="E11" s="1">
        <v>1.0393614040705514E-2</v>
      </c>
      <c r="F11" s="1">
        <v>0.98960638595929451</v>
      </c>
      <c r="G11" s="1">
        <v>0.94903458561459897</v>
      </c>
      <c r="H11" s="1">
        <v>5.0965414385401031E-2</v>
      </c>
      <c r="I11" s="7">
        <v>0</v>
      </c>
      <c r="J11" s="7">
        <v>0</v>
      </c>
      <c r="K11" s="1"/>
    </row>
    <row r="12" spans="1:11" x14ac:dyDescent="0.25">
      <c r="A12" s="1">
        <v>2031</v>
      </c>
      <c r="B12" s="1">
        <v>74</v>
      </c>
      <c r="C12" s="1" t="s">
        <v>10</v>
      </c>
      <c r="D12" s="1">
        <v>0.77987661990089263</v>
      </c>
      <c r="E12" s="1">
        <v>1.1241921475871369E-2</v>
      </c>
      <c r="F12" s="1">
        <v>0.98875807852412867</v>
      </c>
      <c r="G12" s="1">
        <v>0.93836561332523361</v>
      </c>
      <c r="H12" s="1">
        <v>6.1634386674766395E-2</v>
      </c>
      <c r="I12" s="7">
        <v>0</v>
      </c>
      <c r="J12" s="7">
        <v>0</v>
      </c>
      <c r="K12" s="1"/>
    </row>
    <row r="13" spans="1:11" x14ac:dyDescent="0.25">
      <c r="A13" s="1">
        <v>2032</v>
      </c>
      <c r="B13" s="1">
        <v>75</v>
      </c>
      <c r="C13" s="1" t="s">
        <v>11</v>
      </c>
      <c r="D13" s="1">
        <v>0.76973822384218105</v>
      </c>
      <c r="E13" s="1">
        <v>1.2214975874151572E-2</v>
      </c>
      <c r="F13" s="1">
        <v>0.98778502412584845</v>
      </c>
      <c r="G13" s="1">
        <v>0.92690349999733246</v>
      </c>
      <c r="H13" s="1">
        <v>7.3096500002667542E-2</v>
      </c>
      <c r="I13" s="7">
        <v>0</v>
      </c>
      <c r="J13" s="7">
        <v>0</v>
      </c>
      <c r="K13" s="1"/>
    </row>
    <row r="14" spans="1:11" x14ac:dyDescent="0.25">
      <c r="A14" s="1">
        <v>2033</v>
      </c>
      <c r="B14" s="1">
        <v>76</v>
      </c>
      <c r="C14" s="1" t="s">
        <v>12</v>
      </c>
      <c r="D14" s="1">
        <v>0.75973162693223273</v>
      </c>
      <c r="E14" s="1">
        <v>1.3337088710795347E-2</v>
      </c>
      <c r="F14" s="1">
        <v>0.98666291128920469</v>
      </c>
      <c r="G14" s="1">
        <v>0.91454130579152138</v>
      </c>
      <c r="H14" s="1">
        <v>8.5458694208478625E-2</v>
      </c>
      <c r="I14" s="7">
        <v>0</v>
      </c>
      <c r="J14" s="7">
        <v>0</v>
      </c>
      <c r="K14" s="1"/>
    </row>
    <row r="15" spans="1:11" x14ac:dyDescent="0.25">
      <c r="A15" s="1">
        <v>2034</v>
      </c>
      <c r="B15" s="1">
        <v>77</v>
      </c>
      <c r="C15" s="1" t="s">
        <v>13</v>
      </c>
      <c r="D15" s="1">
        <v>0.74985511578211361</v>
      </c>
      <c r="E15" s="1">
        <v>1.4622174757751216E-2</v>
      </c>
      <c r="F15" s="1">
        <v>0.98537782524224882</v>
      </c>
      <c r="G15" s="1">
        <v>0.90116872299505579</v>
      </c>
      <c r="H15" s="1">
        <v>9.8831277004944207E-2</v>
      </c>
      <c r="I15" s="7">
        <v>0</v>
      </c>
      <c r="J15" s="7">
        <v>0</v>
      </c>
      <c r="K15" s="1"/>
    </row>
    <row r="16" spans="1:11" x14ac:dyDescent="0.25">
      <c r="A16" s="1">
        <v>2035</v>
      </c>
      <c r="B16" s="1">
        <v>78</v>
      </c>
      <c r="C16" s="1" t="s">
        <v>14</v>
      </c>
      <c r="D16" s="1">
        <v>0.74010699927694612</v>
      </c>
      <c r="E16" s="1">
        <v>1.6103248090267794E-2</v>
      </c>
      <c r="F16" s="1">
        <v>0.98389675190973225</v>
      </c>
      <c r="G16" s="1">
        <v>0.88665697947747668</v>
      </c>
      <c r="H16" s="1">
        <v>0.11334302052252332</v>
      </c>
      <c r="I16" s="7">
        <v>0</v>
      </c>
      <c r="J16" s="7">
        <v>0</v>
      </c>
      <c r="K16" s="1"/>
    </row>
    <row r="17" spans="1:11" x14ac:dyDescent="0.25">
      <c r="A17" s="1">
        <v>2036</v>
      </c>
      <c r="B17" s="1">
        <v>79</v>
      </c>
      <c r="C17" s="1" t="s">
        <v>15</v>
      </c>
      <c r="D17" s="1">
        <v>0.73048560828634579</v>
      </c>
      <c r="E17" s="1">
        <v>1.7832614669486272E-2</v>
      </c>
      <c r="F17" s="1">
        <v>0.98216738533051373</v>
      </c>
      <c r="G17" s="1">
        <v>0.87084556721844419</v>
      </c>
      <c r="H17" s="1">
        <v>0.12915443278155581</v>
      </c>
      <c r="I17" s="7">
        <v>0</v>
      </c>
      <c r="J17" s="7">
        <v>0</v>
      </c>
      <c r="K17" s="1"/>
    </row>
    <row r="18" spans="1:11" x14ac:dyDescent="0.25">
      <c r="A18" s="1">
        <v>2037</v>
      </c>
      <c r="B18" s="1">
        <v>80</v>
      </c>
      <c r="C18" s="1" t="s">
        <v>16</v>
      </c>
      <c r="D18" s="1">
        <v>0.72098929537862322</v>
      </c>
      <c r="E18" s="1">
        <v>1.9884163777247048E-2</v>
      </c>
      <c r="F18" s="1">
        <v>0.980115836222753</v>
      </c>
      <c r="G18" s="1">
        <v>0.85352953133518306</v>
      </c>
      <c r="H18" s="1">
        <v>0.14647046866481694</v>
      </c>
      <c r="I18" s="7">
        <v>0</v>
      </c>
      <c r="J18" s="7">
        <v>0</v>
      </c>
      <c r="K18" s="1"/>
    </row>
    <row r="19" spans="1:11" x14ac:dyDescent="0.25">
      <c r="A19" s="1">
        <v>2038</v>
      </c>
      <c r="B19" s="1">
        <v>81</v>
      </c>
      <c r="C19" s="1" t="s">
        <v>17</v>
      </c>
      <c r="D19" s="1">
        <v>0.73060149957992415</v>
      </c>
      <c r="E19" s="1">
        <v>2.3014677838267193E-2</v>
      </c>
      <c r="F19" s="1">
        <v>0.97698532216173284</v>
      </c>
      <c r="G19" s="1">
        <v>0.83388582414605661</v>
      </c>
      <c r="H19" s="1">
        <v>0.16611417585394339</v>
      </c>
      <c r="I19" s="7">
        <v>0</v>
      </c>
      <c r="J19" s="7">
        <v>0</v>
      </c>
      <c r="K19" s="1"/>
    </row>
    <row r="20" spans="1:11" x14ac:dyDescent="0.25">
      <c r="A20" s="1">
        <v>2039</v>
      </c>
      <c r="B20" s="1">
        <v>82</v>
      </c>
      <c r="C20" s="1" t="s">
        <v>18</v>
      </c>
      <c r="D20" s="1">
        <v>0.7218342815849651</v>
      </c>
      <c r="E20" s="1">
        <v>2.607409791941211E-2</v>
      </c>
      <c r="F20" s="1">
        <v>0.97392590208058794</v>
      </c>
      <c r="G20" s="1">
        <v>0.81214300351366275</v>
      </c>
      <c r="H20" s="1">
        <v>0.18785699648633725</v>
      </c>
      <c r="I20" s="7">
        <v>0</v>
      </c>
      <c r="J20" s="7">
        <v>0</v>
      </c>
      <c r="K20" s="1"/>
    </row>
    <row r="21" spans="1:11" x14ac:dyDescent="0.25">
      <c r="A21" s="1">
        <v>2040</v>
      </c>
      <c r="B21" s="1">
        <v>83</v>
      </c>
      <c r="C21" s="1" t="s">
        <v>19</v>
      </c>
      <c r="D21" s="1">
        <v>0.73366223537731967</v>
      </c>
      <c r="E21" s="1">
        <v>3.0430108536745087E-2</v>
      </c>
      <c r="F21" s="1">
        <v>0.9695698914632549</v>
      </c>
      <c r="G21" s="1">
        <v>0.78742940376938386</v>
      </c>
      <c r="H21" s="1">
        <v>0.21257059623061614</v>
      </c>
      <c r="I21" s="7">
        <v>0</v>
      </c>
      <c r="J21" s="7">
        <v>0</v>
      </c>
      <c r="K21" s="1"/>
    </row>
    <row r="22" spans="1:11" x14ac:dyDescent="0.25">
      <c r="A22" s="1">
        <v>2041</v>
      </c>
      <c r="B22" s="1">
        <v>84</v>
      </c>
      <c r="C22" s="1" t="s">
        <v>20</v>
      </c>
      <c r="D22" s="1">
        <v>0.74717209433159593</v>
      </c>
      <c r="E22" s="1">
        <v>3.5557172797146319E-2</v>
      </c>
      <c r="F22" s="1">
        <v>0.96444282720285368</v>
      </c>
      <c r="G22" s="1">
        <v>0.75943064039400199</v>
      </c>
      <c r="H22" s="1">
        <v>0.24056935960599801</v>
      </c>
      <c r="I22" s="7">
        <v>0</v>
      </c>
      <c r="J22" s="7">
        <v>0</v>
      </c>
      <c r="K22" s="1"/>
    </row>
    <row r="23" spans="1:11" x14ac:dyDescent="0.25">
      <c r="A23" s="1">
        <v>2042</v>
      </c>
      <c r="B23" s="1">
        <v>85</v>
      </c>
      <c r="C23" s="1" t="s">
        <v>21</v>
      </c>
      <c r="D23" s="1">
        <v>0.7397003733882801</v>
      </c>
      <c r="E23" s="1">
        <v>4.0270028027631362E-2</v>
      </c>
      <c r="F23" s="1">
        <v>0.95972997197236865</v>
      </c>
      <c r="G23" s="1">
        <v>0.72884834722029346</v>
      </c>
      <c r="H23" s="1">
        <v>0.27115165277970654</v>
      </c>
      <c r="I23" s="7">
        <v>0</v>
      </c>
      <c r="J23" s="7">
        <v>0</v>
      </c>
      <c r="K23" s="1"/>
    </row>
    <row r="24" spans="1:11" x14ac:dyDescent="0.25">
      <c r="A24" s="1">
        <v>2043</v>
      </c>
      <c r="B24" s="1">
        <v>86</v>
      </c>
      <c r="C24" s="1" t="s">
        <v>22</v>
      </c>
      <c r="D24" s="1">
        <v>0.75558493283502159</v>
      </c>
      <c r="E24" s="1">
        <v>4.6825109457651955E-2</v>
      </c>
      <c r="F24" s="1">
        <v>0.95317489054234805</v>
      </c>
      <c r="G24" s="1">
        <v>0.6947199435836745</v>
      </c>
      <c r="H24" s="1">
        <v>0.3052800564163255</v>
      </c>
      <c r="I24" s="7">
        <v>0</v>
      </c>
      <c r="J24" s="7">
        <v>0</v>
      </c>
      <c r="K24" s="1"/>
    </row>
    <row r="25" spans="1:11" x14ac:dyDescent="0.25">
      <c r="A25" s="1">
        <v>2044</v>
      </c>
      <c r="B25" s="1">
        <v>87</v>
      </c>
      <c r="C25" s="1" t="s">
        <v>23</v>
      </c>
      <c r="D25" s="1">
        <v>0.7733454041380865</v>
      </c>
      <c r="E25" s="1">
        <v>5.4254046827307452E-2</v>
      </c>
      <c r="F25" s="1">
        <v>0.9457459531726925</v>
      </c>
      <c r="G25" s="1">
        <v>0.65702857523262137</v>
      </c>
      <c r="H25" s="1">
        <v>0.34297142476737863</v>
      </c>
      <c r="I25" s="7">
        <v>0</v>
      </c>
      <c r="J25" s="7">
        <v>0</v>
      </c>
      <c r="K25" s="1"/>
    </row>
    <row r="26" spans="1:11" x14ac:dyDescent="0.25">
      <c r="A26" s="1">
        <v>2045</v>
      </c>
      <c r="B26" s="1">
        <v>88</v>
      </c>
      <c r="C26" s="1" t="s">
        <v>24</v>
      </c>
      <c r="D26" s="1">
        <v>0.79309497887840852</v>
      </c>
      <c r="E26" s="1">
        <v>6.2625158817175772E-2</v>
      </c>
      <c r="F26" s="1">
        <v>0.93737484118282421</v>
      </c>
      <c r="G26" s="1">
        <v>0.6158820563612557</v>
      </c>
      <c r="H26" s="1">
        <v>0.3841179436387443</v>
      </c>
      <c r="I26" s="7">
        <v>0</v>
      </c>
      <c r="J26" s="7">
        <v>0</v>
      </c>
      <c r="K26" s="1"/>
    </row>
    <row r="27" spans="1:11" x14ac:dyDescent="0.25">
      <c r="A27" s="1">
        <v>2046</v>
      </c>
      <c r="B27" s="1">
        <v>89</v>
      </c>
      <c r="C27" s="1" t="s">
        <v>25</v>
      </c>
      <c r="D27" s="1">
        <v>0.78754331402625966</v>
      </c>
      <c r="E27" s="1">
        <v>6.9568426187823676E-2</v>
      </c>
      <c r="F27" s="1">
        <v>0.93043157381217634</v>
      </c>
      <c r="G27" s="1">
        <v>0.57303611098288265</v>
      </c>
      <c r="H27" s="1">
        <v>0.42696388901711735</v>
      </c>
      <c r="I27" s="7">
        <v>0</v>
      </c>
      <c r="J27" s="7">
        <v>0</v>
      </c>
      <c r="K27" s="1"/>
    </row>
    <row r="28" spans="1:11" x14ac:dyDescent="0.25">
      <c r="A28" s="1">
        <v>2047</v>
      </c>
      <c r="B28" s="1">
        <v>90</v>
      </c>
      <c r="C28" s="1" t="s">
        <v>26</v>
      </c>
      <c r="D28" s="1">
        <v>0.81007168810811669</v>
      </c>
      <c r="E28" s="1">
        <v>7.9546609557152745E-2</v>
      </c>
      <c r="F28" s="1">
        <v>0.92045339044284724</v>
      </c>
      <c r="G28" s="1">
        <v>0.52745303120037801</v>
      </c>
      <c r="H28" s="1">
        <v>0.47254696879962199</v>
      </c>
      <c r="I28" s="7">
        <v>0</v>
      </c>
      <c r="J28" s="7">
        <v>0</v>
      </c>
      <c r="K28" s="1"/>
    </row>
    <row r="29" spans="1:11" x14ac:dyDescent="0.25">
      <c r="A29" s="1">
        <v>2048</v>
      </c>
      <c r="B29" s="1">
        <v>91</v>
      </c>
      <c r="C29" s="1" t="s">
        <v>27</v>
      </c>
      <c r="D29" s="1">
        <v>0.80521125797946802</v>
      </c>
      <c r="E29" s="1">
        <v>8.7222899098109916E-2</v>
      </c>
      <c r="F29" s="1">
        <v>0.91277710090189013</v>
      </c>
      <c r="G29" s="1">
        <v>0.48144704868099525</v>
      </c>
      <c r="H29" s="1">
        <v>0.51855295131900481</v>
      </c>
      <c r="I29" s="7">
        <v>0</v>
      </c>
      <c r="J29" s="7">
        <v>0</v>
      </c>
      <c r="K29" s="1"/>
    </row>
    <row r="30" spans="1:11" x14ac:dyDescent="0.25">
      <c r="A30" s="1">
        <v>2049</v>
      </c>
      <c r="B30" s="1">
        <v>92</v>
      </c>
      <c r="C30" s="1" t="s">
        <v>28</v>
      </c>
      <c r="D30" s="1">
        <v>0.83071870148213323</v>
      </c>
      <c r="E30" s="1">
        <v>9.9011700592252491E-2</v>
      </c>
      <c r="F30" s="1">
        <v>0.90098829940774749</v>
      </c>
      <c r="G30" s="1">
        <v>0.43377815764596894</v>
      </c>
      <c r="H30" s="1">
        <v>0.56622184235403106</v>
      </c>
      <c r="I30" s="7">
        <v>0</v>
      </c>
      <c r="J30" s="7">
        <v>0</v>
      </c>
      <c r="K30" s="1"/>
    </row>
    <row r="31" spans="1:11" x14ac:dyDescent="0.25">
      <c r="A31" s="1">
        <v>2050</v>
      </c>
      <c r="B31" s="1">
        <v>93</v>
      </c>
      <c r="C31" s="1" t="s">
        <v>29</v>
      </c>
      <c r="D31" s="1">
        <v>0.82656510797472249</v>
      </c>
      <c r="E31" s="1">
        <v>0.10855610189075221</v>
      </c>
      <c r="F31" s="1">
        <v>0.89144389810924785</v>
      </c>
      <c r="G31" s="1">
        <v>0.3866888917665704</v>
      </c>
      <c r="H31" s="1">
        <v>0.6133111082334296</v>
      </c>
      <c r="I31" s="7">
        <v>0</v>
      </c>
      <c r="J31" s="7">
        <v>0</v>
      </c>
      <c r="K31" s="1"/>
    </row>
    <row r="32" spans="1:11" x14ac:dyDescent="0.25">
      <c r="A32" s="1">
        <v>2051</v>
      </c>
      <c r="B32" s="1">
        <v>94</v>
      </c>
      <c r="C32" s="1" t="s">
        <v>30</v>
      </c>
      <c r="D32" s="1">
        <v>0.85529158379651171</v>
      </c>
      <c r="E32" s="1">
        <v>0.12446288656565219</v>
      </c>
      <c r="F32" s="1">
        <v>0.87553711343434781</v>
      </c>
      <c r="G32" s="1">
        <v>0.33856047609442996</v>
      </c>
      <c r="H32" s="1">
        <v>0.66143952390557004</v>
      </c>
      <c r="I32" s="7">
        <v>0</v>
      </c>
      <c r="J32" s="7">
        <v>0</v>
      </c>
      <c r="K32" s="1"/>
    </row>
    <row r="33" spans="1:11" x14ac:dyDescent="0.25">
      <c r="A33" s="1">
        <v>2052</v>
      </c>
      <c r="B33" s="1">
        <v>95</v>
      </c>
      <c r="C33" s="1" t="s">
        <v>31</v>
      </c>
      <c r="D33" s="1">
        <v>0.85187041746132575</v>
      </c>
      <c r="E33" s="1">
        <v>0.13861805807014185</v>
      </c>
      <c r="F33" s="1">
        <v>0.86138194192985817</v>
      </c>
      <c r="G33" s="1">
        <v>0.2916298803589174</v>
      </c>
      <c r="H33" s="1">
        <v>0.70837011964108254</v>
      </c>
      <c r="I33" s="7">
        <v>0</v>
      </c>
      <c r="J33" s="7">
        <v>0</v>
      </c>
      <c r="K33" s="1"/>
    </row>
    <row r="34" spans="1:11" x14ac:dyDescent="0.25">
      <c r="A34" s="1">
        <v>2053</v>
      </c>
      <c r="B34" s="1">
        <v>96</v>
      </c>
      <c r="C34" s="1" t="s">
        <v>32</v>
      </c>
      <c r="D34" s="1">
        <v>0.84846293579148047</v>
      </c>
      <c r="E34" s="1">
        <v>0.15452206986634442</v>
      </c>
      <c r="F34" s="1">
        <v>0.84547793013365558</v>
      </c>
      <c r="G34" s="1">
        <v>0.24656662761098311</v>
      </c>
      <c r="H34" s="1">
        <v>0.75343337238901686</v>
      </c>
      <c r="I34" s="7">
        <v>0</v>
      </c>
      <c r="J34" s="7">
        <v>0</v>
      </c>
      <c r="K34" s="1"/>
    </row>
    <row r="35" spans="1:11" x14ac:dyDescent="0.25">
      <c r="A35" s="1">
        <v>2054</v>
      </c>
      <c r="B35" s="1">
        <v>97</v>
      </c>
      <c r="C35" s="1" t="s">
        <v>33</v>
      </c>
      <c r="D35" s="1">
        <v>0.88144790338361856</v>
      </c>
      <c r="E35" s="1">
        <v>0.17599076983747666</v>
      </c>
      <c r="F35" s="1">
        <v>0.82400923016252337</v>
      </c>
      <c r="G35" s="1">
        <v>0.20317317700149576</v>
      </c>
      <c r="H35" s="1">
        <v>0.79682682299850427</v>
      </c>
      <c r="I35" s="7">
        <v>0</v>
      </c>
      <c r="J35" s="7">
        <v>0</v>
      </c>
      <c r="K35" s="1"/>
    </row>
    <row r="36" spans="1:11" x14ac:dyDescent="0.25">
      <c r="A36" s="1">
        <v>2055</v>
      </c>
      <c r="B36" s="1">
        <v>98</v>
      </c>
      <c r="C36" s="1" t="s">
        <v>34</v>
      </c>
      <c r="D36" s="1">
        <v>0.87880355967346768</v>
      </c>
      <c r="E36" s="1">
        <v>0.1915317206165936</v>
      </c>
      <c r="F36" s="1">
        <v>0.80846827938340637</v>
      </c>
      <c r="G36" s="1">
        <v>0.16425906882725955</v>
      </c>
      <c r="H36" s="1">
        <v>0.8357409311727404</v>
      </c>
      <c r="I36" s="7">
        <v>0</v>
      </c>
      <c r="J36" s="7">
        <v>0</v>
      </c>
      <c r="K36" s="1"/>
    </row>
    <row r="37" spans="1:11" x14ac:dyDescent="0.25">
      <c r="A37" s="1">
        <v>2056</v>
      </c>
      <c r="B37" s="1">
        <v>99</v>
      </c>
      <c r="C37" s="1" t="s">
        <v>35</v>
      </c>
      <c r="D37" s="1">
        <v>0.91568018571066367</v>
      </c>
      <c r="E37" s="1">
        <v>0.21686420110259932</v>
      </c>
      <c r="F37" s="1">
        <v>0.7831357988974007</v>
      </c>
      <c r="G37" s="1">
        <v>0.12863715709217904</v>
      </c>
      <c r="H37" s="1">
        <v>0.87136284290782096</v>
      </c>
      <c r="I37" s="7">
        <v>0</v>
      </c>
      <c r="J37" s="7">
        <v>0</v>
      </c>
      <c r="K37" s="1"/>
    </row>
    <row r="38" spans="1:11" x14ac:dyDescent="0.25">
      <c r="A38" s="1">
        <v>2057</v>
      </c>
      <c r="B38" s="1">
        <v>100</v>
      </c>
      <c r="C38" s="1" t="s">
        <v>36</v>
      </c>
      <c r="D38" s="1">
        <v>0.91384882533924217</v>
      </c>
      <c r="E38" s="1">
        <v>0.23427154331749211</v>
      </c>
      <c r="F38" s="1">
        <v>0.76572845668250789</v>
      </c>
      <c r="G38" s="1">
        <v>9.8501131772219586E-2</v>
      </c>
      <c r="H38" s="1">
        <v>0.90149886822778047</v>
      </c>
      <c r="I38" s="7">
        <v>0</v>
      </c>
      <c r="J38" s="7">
        <v>0</v>
      </c>
      <c r="K38" s="1"/>
    </row>
    <row r="39" spans="1:11" x14ac:dyDescent="0.25">
      <c r="A39" s="1">
        <v>2058</v>
      </c>
      <c r="B39" s="1">
        <v>101</v>
      </c>
      <c r="C39" s="1" t="s">
        <v>37</v>
      </c>
      <c r="D39" s="1">
        <v>0.9120211276885638</v>
      </c>
      <c r="E39" s="1">
        <v>0.25883342008026977</v>
      </c>
      <c r="F39" s="1">
        <v>0.74116657991973023</v>
      </c>
      <c r="G39" s="1">
        <v>7.3005746953838671E-2</v>
      </c>
      <c r="H39" s="1">
        <v>0.92699425304616134</v>
      </c>
      <c r="I39" s="7">
        <v>0</v>
      </c>
      <c r="J39" s="7">
        <v>0</v>
      </c>
      <c r="K39" s="1"/>
    </row>
    <row r="40" spans="1:11" x14ac:dyDescent="0.25">
      <c r="A40" s="1">
        <v>2059</v>
      </c>
      <c r="B40" s="1">
        <v>102</v>
      </c>
      <c r="C40" s="1" t="s">
        <v>38</v>
      </c>
      <c r="D40" s="1">
        <v>0.95406496184173628</v>
      </c>
      <c r="E40" s="1">
        <v>0.29071885891256649</v>
      </c>
      <c r="F40" s="1">
        <v>0.70928114108743356</v>
      </c>
      <c r="G40" s="1">
        <v>5.178159950535912E-2</v>
      </c>
      <c r="H40" s="1">
        <v>0.9482184004946409</v>
      </c>
      <c r="I40" s="7">
        <v>0</v>
      </c>
      <c r="J40" s="7">
        <v>0</v>
      </c>
      <c r="K40" s="1"/>
    </row>
    <row r="41" spans="1:11" x14ac:dyDescent="0.25">
      <c r="A41" s="1">
        <v>2060</v>
      </c>
      <c r="B41" s="1">
        <v>103</v>
      </c>
      <c r="C41" s="1" t="s">
        <v>39</v>
      </c>
      <c r="D41" s="1">
        <v>0.9531108968798947</v>
      </c>
      <c r="E41" s="1">
        <v>0.31054163931051043</v>
      </c>
      <c r="F41" s="1">
        <v>0.68945836068948951</v>
      </c>
      <c r="G41" s="1">
        <v>3.5701256708844581E-2</v>
      </c>
      <c r="H41" s="1">
        <v>0.96429874329115539</v>
      </c>
      <c r="I41" s="7">
        <v>0</v>
      </c>
      <c r="J41" s="7">
        <v>0</v>
      </c>
      <c r="K41" s="1"/>
    </row>
    <row r="42" spans="1:11" x14ac:dyDescent="0.25">
      <c r="A42" s="1">
        <v>2061</v>
      </c>
      <c r="B42" s="1">
        <v>104</v>
      </c>
      <c r="C42" s="1" t="s">
        <v>40</v>
      </c>
      <c r="D42" s="1">
        <v>1</v>
      </c>
      <c r="E42" s="1">
        <v>0.34693600000000002</v>
      </c>
      <c r="F42" s="1">
        <v>0.65306399999999998</v>
      </c>
      <c r="G42" s="1">
        <v>2.3315205511304875E-2</v>
      </c>
      <c r="H42" s="1">
        <v>0.97668479448869516</v>
      </c>
      <c r="I42" s="7">
        <v>0</v>
      </c>
      <c r="J42" s="7">
        <v>0</v>
      </c>
      <c r="K42" s="1"/>
    </row>
    <row r="43" spans="1:11" x14ac:dyDescent="0.25">
      <c r="A43" s="1">
        <v>2062</v>
      </c>
      <c r="B43" s="1">
        <v>105</v>
      </c>
      <c r="C43" s="1" t="s">
        <v>41</v>
      </c>
      <c r="D43" s="1">
        <v>1</v>
      </c>
      <c r="E43" s="1">
        <v>0.367898</v>
      </c>
      <c r="F43" s="1">
        <v>0.63210199999999994</v>
      </c>
      <c r="G43" s="1">
        <v>1.4737588034106833E-2</v>
      </c>
      <c r="H43" s="1">
        <v>0.98526241196589315</v>
      </c>
      <c r="I43" s="7">
        <v>0</v>
      </c>
      <c r="J43" s="7">
        <v>0</v>
      </c>
      <c r="K43" s="1"/>
    </row>
    <row r="44" spans="1:11" x14ac:dyDescent="0.25">
      <c r="A44" s="1">
        <v>2063</v>
      </c>
      <c r="B44" s="1">
        <v>106</v>
      </c>
      <c r="C44" s="1" t="s">
        <v>42</v>
      </c>
      <c r="D44" s="1">
        <v>1</v>
      </c>
      <c r="E44" s="1">
        <v>0.38760699999999998</v>
      </c>
      <c r="F44" s="1">
        <v>0.61239299999999997</v>
      </c>
      <c r="G44" s="1">
        <v>9.0251957489707844E-3</v>
      </c>
      <c r="H44" s="1">
        <v>0.99097480425102924</v>
      </c>
      <c r="I44" s="7">
        <v>0</v>
      </c>
      <c r="J44" s="7">
        <v>0</v>
      </c>
      <c r="K44" s="1"/>
    </row>
    <row r="45" spans="1:11" x14ac:dyDescent="0.25">
      <c r="A45" s="1">
        <v>2064</v>
      </c>
      <c r="B45" s="1">
        <v>107</v>
      </c>
      <c r="C45" s="1" t="s">
        <v>1</v>
      </c>
      <c r="D45" s="1">
        <v>1</v>
      </c>
      <c r="E45" s="1">
        <v>0.4</v>
      </c>
      <c r="F45" s="1">
        <v>0.6</v>
      </c>
      <c r="G45" s="1">
        <v>5.4151174493824701E-3</v>
      </c>
      <c r="H45" s="1">
        <v>0.9945848825506175</v>
      </c>
      <c r="I45" s="7">
        <v>0</v>
      </c>
      <c r="J45" s="7">
        <v>0</v>
      </c>
      <c r="K45" s="1"/>
    </row>
    <row r="46" spans="1:11" x14ac:dyDescent="0.25">
      <c r="A46" s="1">
        <v>2065</v>
      </c>
      <c r="B46" s="1">
        <v>108</v>
      </c>
      <c r="C46" s="1" t="s">
        <v>1</v>
      </c>
      <c r="D46" s="1">
        <v>1</v>
      </c>
      <c r="E46" s="1">
        <v>0.4</v>
      </c>
      <c r="F46" s="1">
        <v>0.6</v>
      </c>
      <c r="G46" s="1">
        <v>3.2490704696294822E-3</v>
      </c>
      <c r="H46" s="1">
        <v>0.99675092953037048</v>
      </c>
      <c r="I46" s="7">
        <v>0</v>
      </c>
      <c r="J46" s="7">
        <v>0</v>
      </c>
      <c r="K46" s="1"/>
    </row>
    <row r="47" spans="1:11" x14ac:dyDescent="0.25">
      <c r="A47" s="1">
        <v>2066</v>
      </c>
      <c r="B47" s="1">
        <v>109</v>
      </c>
      <c r="C47" s="1" t="s">
        <v>1</v>
      </c>
      <c r="D47" s="1">
        <v>1</v>
      </c>
      <c r="E47" s="1">
        <v>0.4</v>
      </c>
      <c r="F47" s="1">
        <v>0.6</v>
      </c>
      <c r="G47" s="1">
        <v>1.9494422817776893E-3</v>
      </c>
      <c r="H47" s="1">
        <v>0.99805055771822226</v>
      </c>
      <c r="I47" s="7">
        <v>0</v>
      </c>
      <c r="J47" s="7">
        <v>0</v>
      </c>
      <c r="K47" s="1"/>
    </row>
    <row r="48" spans="1:11" x14ac:dyDescent="0.25">
      <c r="A48" s="1">
        <v>2067</v>
      </c>
      <c r="B48" s="1">
        <v>110</v>
      </c>
      <c r="C48" s="1" t="s">
        <v>1</v>
      </c>
      <c r="D48" s="1">
        <v>1</v>
      </c>
      <c r="E48" s="1">
        <v>0.4</v>
      </c>
      <c r="F48" s="1">
        <v>0.6</v>
      </c>
      <c r="G48" s="1">
        <v>1.1696653690666135E-3</v>
      </c>
      <c r="H48" s="1">
        <v>0.9988303346309334</v>
      </c>
      <c r="I48" s="7">
        <v>0</v>
      </c>
      <c r="J48" s="7">
        <v>0</v>
      </c>
      <c r="K48" s="1"/>
    </row>
    <row r="49" spans="1:11" x14ac:dyDescent="0.25">
      <c r="A49" s="1">
        <v>2068</v>
      </c>
      <c r="B49" s="1">
        <v>111</v>
      </c>
      <c r="C49" s="1" t="s">
        <v>1</v>
      </c>
      <c r="D49" s="1">
        <v>1</v>
      </c>
      <c r="E49" s="1">
        <v>0.4</v>
      </c>
      <c r="F49" s="1">
        <v>0.6</v>
      </c>
      <c r="G49" s="1">
        <v>7.0179922143996805E-4</v>
      </c>
      <c r="H49" s="1">
        <v>0.99929820077856002</v>
      </c>
      <c r="I49" s="7">
        <v>0</v>
      </c>
      <c r="J49" s="7">
        <v>0</v>
      </c>
      <c r="K49" s="1"/>
    </row>
    <row r="50" spans="1:11" x14ac:dyDescent="0.25">
      <c r="A50" s="1">
        <v>2069</v>
      </c>
      <c r="B50" s="1">
        <v>112</v>
      </c>
      <c r="C50" s="1" t="s">
        <v>1</v>
      </c>
      <c r="D50" s="1">
        <v>1</v>
      </c>
      <c r="E50" s="1">
        <v>0.4</v>
      </c>
      <c r="F50" s="1">
        <v>0.6</v>
      </c>
      <c r="G50" s="1">
        <v>4.2107953286398084E-4</v>
      </c>
      <c r="H50" s="1">
        <v>0.99957892046713603</v>
      </c>
      <c r="I50" s="7">
        <v>0</v>
      </c>
      <c r="J50" s="7">
        <v>0</v>
      </c>
      <c r="K50" s="1"/>
    </row>
    <row r="51" spans="1:11" x14ac:dyDescent="0.25">
      <c r="A51" s="1">
        <v>2070</v>
      </c>
      <c r="B51" s="1">
        <v>113</v>
      </c>
      <c r="C51" s="1" t="s">
        <v>1</v>
      </c>
      <c r="D51" s="1">
        <v>1</v>
      </c>
      <c r="E51" s="1">
        <v>0.4</v>
      </c>
      <c r="F51" s="1">
        <v>0.6</v>
      </c>
      <c r="G51" s="1">
        <v>2.5264771971838851E-4</v>
      </c>
      <c r="H51" s="1">
        <v>0.99974735228028166</v>
      </c>
      <c r="I51" s="7">
        <v>0</v>
      </c>
      <c r="J51" s="7">
        <v>0</v>
      </c>
      <c r="K51" s="1"/>
    </row>
    <row r="52" spans="1:11" x14ac:dyDescent="0.25">
      <c r="A52" s="1">
        <v>2071</v>
      </c>
      <c r="B52" s="1">
        <v>114</v>
      </c>
      <c r="C52" s="1" t="s">
        <v>1</v>
      </c>
      <c r="D52" s="1">
        <v>1</v>
      </c>
      <c r="E52" s="1">
        <v>0.4</v>
      </c>
      <c r="F52" s="1">
        <v>0.6</v>
      </c>
      <c r="G52" s="1">
        <v>1.515886318310331E-4</v>
      </c>
      <c r="H52" s="1">
        <v>0.99984841136816893</v>
      </c>
      <c r="I52" s="7">
        <v>0</v>
      </c>
      <c r="J52" s="7">
        <v>0</v>
      </c>
      <c r="K52" s="1"/>
    </row>
    <row r="53" spans="1:11" x14ac:dyDescent="0.25">
      <c r="A53" s="1">
        <v>2072</v>
      </c>
      <c r="B53" s="1">
        <v>115</v>
      </c>
      <c r="C53" s="1" t="s">
        <v>1</v>
      </c>
      <c r="D53" s="1">
        <v>1</v>
      </c>
      <c r="E53" s="1">
        <v>0.4</v>
      </c>
      <c r="F53" s="1">
        <v>0.6</v>
      </c>
      <c r="G53" s="1">
        <v>9.0953179098619854E-5</v>
      </c>
      <c r="H53" s="1">
        <v>0.99990904682090143</v>
      </c>
      <c r="I53" s="7">
        <v>0</v>
      </c>
      <c r="J53" s="7">
        <v>0</v>
      </c>
      <c r="K53" s="1"/>
    </row>
    <row r="54" spans="1:11" x14ac:dyDescent="0.25">
      <c r="A54" s="1">
        <v>2073</v>
      </c>
      <c r="B54" s="1">
        <v>116</v>
      </c>
      <c r="C54" s="1" t="s">
        <v>1</v>
      </c>
      <c r="D54" s="1">
        <v>1</v>
      </c>
      <c r="E54" s="1">
        <v>0.4</v>
      </c>
      <c r="F54" s="1">
        <v>0.6</v>
      </c>
      <c r="G54" s="1">
        <v>5.457190745917191E-5</v>
      </c>
      <c r="H54" s="1">
        <v>0.99994542809254083</v>
      </c>
      <c r="I54" s="7">
        <v>0</v>
      </c>
      <c r="J54" s="7">
        <v>0</v>
      </c>
      <c r="K54" s="1"/>
    </row>
    <row r="55" spans="1:11" x14ac:dyDescent="0.25">
      <c r="A55" s="1">
        <v>2074</v>
      </c>
      <c r="B55" s="1">
        <v>117</v>
      </c>
      <c r="C55" s="1" t="s">
        <v>1</v>
      </c>
      <c r="D55" s="1">
        <v>1</v>
      </c>
      <c r="E55" s="1">
        <v>0.4</v>
      </c>
      <c r="F55" s="1">
        <v>0.6</v>
      </c>
      <c r="G55" s="1">
        <v>3.2743144475503143E-5</v>
      </c>
      <c r="H55" s="1">
        <v>0.99996725685552446</v>
      </c>
      <c r="I55" s="7">
        <v>0</v>
      </c>
      <c r="J55" s="7">
        <v>0</v>
      </c>
      <c r="K55" s="1"/>
    </row>
    <row r="56" spans="1:11" x14ac:dyDescent="0.25">
      <c r="A56" s="1">
        <v>2075</v>
      </c>
      <c r="B56" s="1">
        <v>118</v>
      </c>
      <c r="C56" s="1" t="s">
        <v>1</v>
      </c>
      <c r="D56" s="1">
        <v>1</v>
      </c>
      <c r="E56" s="1">
        <v>0.4</v>
      </c>
      <c r="F56" s="1">
        <v>0.6</v>
      </c>
      <c r="G56" s="1">
        <v>1.9645886685301885E-5</v>
      </c>
      <c r="H56" s="1">
        <v>0.99998035411331465</v>
      </c>
      <c r="I56" s="7">
        <v>0</v>
      </c>
      <c r="J56" s="7">
        <v>0</v>
      </c>
      <c r="K56" s="1"/>
    </row>
    <row r="57" spans="1:11" x14ac:dyDescent="0.25">
      <c r="A57" s="1">
        <v>2076</v>
      </c>
      <c r="B57" s="1">
        <v>119</v>
      </c>
      <c r="C57" s="1" t="s">
        <v>1</v>
      </c>
      <c r="D57" s="1">
        <v>1</v>
      </c>
      <c r="E57" s="1">
        <v>0.4</v>
      </c>
      <c r="F57" s="1">
        <v>0.6</v>
      </c>
      <c r="G57" s="1">
        <v>1.1787532011181131E-5</v>
      </c>
      <c r="H57" s="1">
        <v>0.99998821246798886</v>
      </c>
      <c r="I57" s="7">
        <v>0</v>
      </c>
      <c r="J57" s="7">
        <v>0</v>
      </c>
      <c r="K57" s="1"/>
    </row>
    <row r="58" spans="1:11" x14ac:dyDescent="0.25">
      <c r="A58" s="1">
        <v>2077</v>
      </c>
      <c r="B58" s="1">
        <v>120</v>
      </c>
      <c r="C58" s="1" t="s">
        <v>1</v>
      </c>
      <c r="D58" s="1">
        <v>1</v>
      </c>
      <c r="E58" s="1">
        <v>0.4</v>
      </c>
      <c r="F58" s="1">
        <v>0.6</v>
      </c>
      <c r="G58" s="1">
        <v>7.0725192067086778E-6</v>
      </c>
      <c r="H58" s="1">
        <v>0.99999292748079327</v>
      </c>
      <c r="I58" s="7">
        <v>0</v>
      </c>
      <c r="J58" s="7">
        <v>0</v>
      </c>
      <c r="K58" s="1"/>
    </row>
    <row r="59" spans="1:11" x14ac:dyDescent="0.25">
      <c r="A59" s="1">
        <v>2078</v>
      </c>
      <c r="B59" s="1">
        <v>121</v>
      </c>
      <c r="C59" s="1">
        <v>1</v>
      </c>
      <c r="D59" s="1">
        <v>1</v>
      </c>
      <c r="E59" s="1">
        <v>1</v>
      </c>
      <c r="F59" s="1">
        <v>0</v>
      </c>
      <c r="G59" s="1">
        <v>0</v>
      </c>
      <c r="H59" s="1">
        <v>1</v>
      </c>
      <c r="I59" s="7">
        <v>0</v>
      </c>
      <c r="J59" s="7">
        <v>0</v>
      </c>
      <c r="K59" s="1"/>
    </row>
    <row r="60" spans="1:11" x14ac:dyDescent="0.25">
      <c r="A60" s="1">
        <v>2079</v>
      </c>
      <c r="B60" s="1">
        <v>122</v>
      </c>
      <c r="C60" s="1">
        <v>1</v>
      </c>
      <c r="D60" s="1">
        <v>1</v>
      </c>
      <c r="E60" s="1">
        <v>1</v>
      </c>
      <c r="F60" s="1">
        <v>0</v>
      </c>
      <c r="G60" s="1">
        <v>0</v>
      </c>
      <c r="H60" s="1">
        <v>1</v>
      </c>
      <c r="I60" s="7">
        <v>0</v>
      </c>
      <c r="J60" s="7">
        <v>0</v>
      </c>
      <c r="K60" s="1"/>
    </row>
    <row r="61" spans="1:11" x14ac:dyDescent="0.25">
      <c r="A61" s="1">
        <v>2080</v>
      </c>
      <c r="B61" s="1">
        <v>123</v>
      </c>
      <c r="C61" s="1">
        <v>1</v>
      </c>
      <c r="D61" s="1">
        <v>1</v>
      </c>
      <c r="E61" s="1">
        <v>1</v>
      </c>
      <c r="F61" s="1">
        <v>0</v>
      </c>
      <c r="G61" s="1">
        <v>0</v>
      </c>
      <c r="H61" s="1">
        <v>1</v>
      </c>
      <c r="I61" s="7">
        <v>0</v>
      </c>
      <c r="J61" s="7">
        <v>0</v>
      </c>
      <c r="K61" s="1"/>
    </row>
    <row r="62" spans="1:11" x14ac:dyDescent="0.25">
      <c r="A62" s="1">
        <v>2081</v>
      </c>
      <c r="B62" s="1">
        <v>124</v>
      </c>
      <c r="C62" s="1">
        <v>1</v>
      </c>
      <c r="D62" s="1">
        <v>1</v>
      </c>
      <c r="E62" s="1">
        <v>1</v>
      </c>
      <c r="F62" s="1">
        <v>0</v>
      </c>
      <c r="G62" s="1">
        <v>0</v>
      </c>
      <c r="H62" s="1">
        <v>1</v>
      </c>
      <c r="I62" s="7">
        <v>0</v>
      </c>
      <c r="J62" s="7">
        <v>0</v>
      </c>
      <c r="K62" s="1"/>
    </row>
    <row r="63" spans="1:11" x14ac:dyDescent="0.25">
      <c r="A63" s="1">
        <v>2082</v>
      </c>
      <c r="B63" s="1">
        <v>125</v>
      </c>
      <c r="C63" s="1">
        <v>1</v>
      </c>
      <c r="D63" s="1">
        <v>1</v>
      </c>
      <c r="E63" s="1">
        <v>1</v>
      </c>
      <c r="F63" s="1">
        <v>0</v>
      </c>
      <c r="G63" s="1">
        <v>0</v>
      </c>
      <c r="H63" s="1">
        <v>1</v>
      </c>
      <c r="I63" s="7">
        <v>0</v>
      </c>
      <c r="J63" s="7">
        <v>0</v>
      </c>
      <c r="K63" s="1"/>
    </row>
    <row r="64" spans="1:11" x14ac:dyDescent="0.25">
      <c r="A64" s="1">
        <v>2083</v>
      </c>
      <c r="B64" s="1">
        <v>126</v>
      </c>
      <c r="C64" s="1">
        <v>1</v>
      </c>
      <c r="D64" s="1">
        <v>1</v>
      </c>
      <c r="E64" s="1">
        <v>1</v>
      </c>
      <c r="F64" s="1">
        <v>0</v>
      </c>
      <c r="G64" s="1">
        <v>0</v>
      </c>
      <c r="H64" s="1">
        <v>1</v>
      </c>
      <c r="I64" s="7">
        <v>0</v>
      </c>
      <c r="J64" s="7">
        <v>0</v>
      </c>
      <c r="K64" s="1"/>
    </row>
    <row r="65" spans="1:11" x14ac:dyDescent="0.25">
      <c r="A65" s="1">
        <v>2084</v>
      </c>
      <c r="B65" s="1">
        <v>127</v>
      </c>
      <c r="C65" s="1">
        <v>1</v>
      </c>
      <c r="D65" s="1">
        <v>1</v>
      </c>
      <c r="E65" s="1">
        <v>1</v>
      </c>
      <c r="F65" s="1">
        <v>0</v>
      </c>
      <c r="G65" s="1">
        <v>0</v>
      </c>
      <c r="H65" s="1">
        <v>1</v>
      </c>
      <c r="I65" s="7">
        <v>0</v>
      </c>
      <c r="J65" s="7">
        <v>0</v>
      </c>
      <c r="K65" s="1"/>
    </row>
    <row r="66" spans="1:11" x14ac:dyDescent="0.25">
      <c r="A66" s="1">
        <v>2085</v>
      </c>
      <c r="B66" s="1">
        <v>128</v>
      </c>
      <c r="C66" s="1">
        <v>1</v>
      </c>
      <c r="D66" s="1">
        <v>1</v>
      </c>
      <c r="E66" s="1">
        <v>1</v>
      </c>
      <c r="F66" s="1">
        <v>0</v>
      </c>
      <c r="G66" s="1">
        <v>0</v>
      </c>
      <c r="H66" s="1">
        <v>1</v>
      </c>
      <c r="I66" s="7">
        <v>0</v>
      </c>
      <c r="J66" s="7">
        <v>0</v>
      </c>
      <c r="K66" s="1"/>
    </row>
  </sheetData>
  <mergeCells count="1">
    <mergeCell ref="G3:H3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2C80-E36C-4048-B1EB-E453454D75F0}">
  <sheetPr codeName="Sheet6"/>
  <dimension ref="A1:L64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O37" sqref="O37"/>
    </sheetView>
  </sheetViews>
  <sheetFormatPr defaultColWidth="11" defaultRowHeight="15.75" x14ac:dyDescent="0.25"/>
  <cols>
    <col min="1" max="1" width="14.125" style="1" customWidth="1"/>
    <col min="2" max="2" width="10.5" style="1" customWidth="1"/>
    <col min="3" max="11" width="10.5" style="4" customWidth="1"/>
    <col min="12" max="12" width="10.5" style="1" customWidth="1"/>
  </cols>
  <sheetData>
    <row r="1" spans="1:12" x14ac:dyDescent="0.25">
      <c r="A1" s="1" t="s">
        <v>67</v>
      </c>
      <c r="B1" s="1">
        <v>25</v>
      </c>
    </row>
    <row r="2" spans="1:12" x14ac:dyDescent="0.25">
      <c r="B2" s="38" t="s">
        <v>69</v>
      </c>
      <c r="C2" s="38"/>
      <c r="D2" s="38"/>
      <c r="E2" s="38"/>
      <c r="F2" s="38"/>
      <c r="G2" s="38"/>
      <c r="H2" s="38"/>
      <c r="I2" s="38"/>
      <c r="J2" s="38"/>
      <c r="K2" s="38"/>
    </row>
    <row r="3" spans="1:12" x14ac:dyDescent="0.25">
      <c r="A3" s="1" t="s">
        <v>70</v>
      </c>
      <c r="B3" s="1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1" t="s">
        <v>58</v>
      </c>
    </row>
    <row r="4" spans="1:12" x14ac:dyDescent="0.25">
      <c r="A4" s="1">
        <v>2025</v>
      </c>
      <c r="B4" s="9">
        <v>20000</v>
      </c>
      <c r="C4" s="19">
        <v>98000</v>
      </c>
      <c r="D4" s="19">
        <v>65000</v>
      </c>
      <c r="E4" s="19">
        <v>49000</v>
      </c>
      <c r="F4" s="19">
        <v>39000</v>
      </c>
      <c r="G4" s="19">
        <v>78000</v>
      </c>
      <c r="H4" s="19">
        <v>28000</v>
      </c>
      <c r="I4" s="19">
        <v>50000</v>
      </c>
      <c r="J4" s="19">
        <v>22000</v>
      </c>
      <c r="K4" s="19">
        <v>96000</v>
      </c>
      <c r="L4" s="9">
        <v>545000</v>
      </c>
    </row>
    <row r="5" spans="1:12" x14ac:dyDescent="0.25">
      <c r="A5" s="1">
        <v>2026</v>
      </c>
      <c r="B5" s="9">
        <v>20000</v>
      </c>
      <c r="C5" s="19">
        <v>98000</v>
      </c>
      <c r="D5" s="19">
        <v>65000</v>
      </c>
      <c r="E5" s="19">
        <v>49000</v>
      </c>
      <c r="F5" s="19">
        <v>39000</v>
      </c>
      <c r="G5" s="19">
        <v>78000</v>
      </c>
      <c r="H5" s="19">
        <v>28000</v>
      </c>
      <c r="I5" s="19">
        <v>50000</v>
      </c>
      <c r="J5" s="19">
        <v>22000</v>
      </c>
      <c r="K5" s="19">
        <v>96000</v>
      </c>
      <c r="L5" s="9">
        <v>545000</v>
      </c>
    </row>
    <row r="6" spans="1:12" x14ac:dyDescent="0.25">
      <c r="A6" s="1">
        <v>2027</v>
      </c>
      <c r="B6" s="9">
        <v>20000</v>
      </c>
      <c r="C6" s="19">
        <v>98000</v>
      </c>
      <c r="D6" s="19">
        <v>65000</v>
      </c>
      <c r="E6" s="19">
        <v>49000</v>
      </c>
      <c r="F6" s="19">
        <v>39000</v>
      </c>
      <c r="G6" s="19">
        <v>78000</v>
      </c>
      <c r="H6" s="19">
        <v>28000</v>
      </c>
      <c r="I6" s="19">
        <v>50000</v>
      </c>
      <c r="J6" s="19">
        <v>22000</v>
      </c>
      <c r="K6" s="19">
        <v>96000</v>
      </c>
      <c r="L6" s="9">
        <v>545000</v>
      </c>
    </row>
    <row r="7" spans="1:12" x14ac:dyDescent="0.25">
      <c r="A7" s="1">
        <v>2028</v>
      </c>
      <c r="B7" s="9">
        <v>20000</v>
      </c>
      <c r="C7" s="19">
        <v>98000</v>
      </c>
      <c r="D7" s="19">
        <v>65000</v>
      </c>
      <c r="E7" s="19">
        <v>49000</v>
      </c>
      <c r="F7" s="19">
        <v>39000</v>
      </c>
      <c r="G7" s="19">
        <v>78000</v>
      </c>
      <c r="H7" s="19">
        <v>28000</v>
      </c>
      <c r="I7" s="19">
        <v>50000</v>
      </c>
      <c r="J7" s="19">
        <v>22000</v>
      </c>
      <c r="K7" s="19">
        <v>96000</v>
      </c>
      <c r="L7" s="9">
        <v>545000</v>
      </c>
    </row>
    <row r="8" spans="1:12" x14ac:dyDescent="0.25">
      <c r="A8" s="1">
        <v>2029</v>
      </c>
      <c r="B8" s="9">
        <v>20000</v>
      </c>
      <c r="C8" s="19">
        <v>98000</v>
      </c>
      <c r="D8" s="19">
        <v>65000</v>
      </c>
      <c r="E8" s="19">
        <v>49000</v>
      </c>
      <c r="F8" s="19">
        <v>39000</v>
      </c>
      <c r="G8" s="19">
        <v>78000</v>
      </c>
      <c r="H8" s="19">
        <v>28000</v>
      </c>
      <c r="I8" s="19">
        <v>50000</v>
      </c>
      <c r="J8" s="19">
        <v>22000</v>
      </c>
      <c r="K8" s="19">
        <v>0</v>
      </c>
      <c r="L8" s="9">
        <v>449000</v>
      </c>
    </row>
    <row r="9" spans="1:12" x14ac:dyDescent="0.25">
      <c r="A9" s="1">
        <v>2030</v>
      </c>
      <c r="B9" s="9">
        <v>20000</v>
      </c>
      <c r="C9" s="19">
        <v>98000</v>
      </c>
      <c r="D9" s="19">
        <v>65000</v>
      </c>
      <c r="E9" s="19">
        <v>49000</v>
      </c>
      <c r="F9" s="19">
        <v>39000</v>
      </c>
      <c r="G9" s="19">
        <v>78000</v>
      </c>
      <c r="H9" s="19">
        <v>28000</v>
      </c>
      <c r="I9" s="19">
        <v>50000</v>
      </c>
      <c r="J9" s="19">
        <v>22000</v>
      </c>
      <c r="K9" s="19">
        <v>0</v>
      </c>
      <c r="L9" s="9">
        <v>449000</v>
      </c>
    </row>
    <row r="10" spans="1:12" x14ac:dyDescent="0.25">
      <c r="A10" s="1">
        <v>2031</v>
      </c>
      <c r="B10" s="9">
        <v>20000</v>
      </c>
      <c r="C10" s="19">
        <v>98000</v>
      </c>
      <c r="D10" s="19">
        <v>65000</v>
      </c>
      <c r="E10" s="19">
        <v>49000</v>
      </c>
      <c r="F10" s="19">
        <v>39000</v>
      </c>
      <c r="G10" s="19">
        <v>78000</v>
      </c>
      <c r="H10" s="19">
        <v>28000</v>
      </c>
      <c r="I10" s="19">
        <v>50000</v>
      </c>
      <c r="J10" s="19">
        <v>22000</v>
      </c>
      <c r="K10" s="19">
        <v>0</v>
      </c>
      <c r="L10" s="9">
        <v>449000</v>
      </c>
    </row>
    <row r="11" spans="1:12" x14ac:dyDescent="0.25">
      <c r="A11" s="1">
        <v>2032</v>
      </c>
      <c r="B11" s="9">
        <v>20000</v>
      </c>
      <c r="C11" s="19">
        <v>98000</v>
      </c>
      <c r="D11" s="19">
        <v>65000</v>
      </c>
      <c r="E11" s="19">
        <v>49000</v>
      </c>
      <c r="F11" s="19">
        <v>39000</v>
      </c>
      <c r="G11" s="19">
        <v>78000</v>
      </c>
      <c r="H11" s="19">
        <v>28000</v>
      </c>
      <c r="I11" s="19">
        <v>50000</v>
      </c>
      <c r="J11" s="19">
        <v>22000</v>
      </c>
      <c r="K11" s="19">
        <v>0</v>
      </c>
      <c r="L11" s="9">
        <v>449000</v>
      </c>
    </row>
    <row r="12" spans="1:12" x14ac:dyDescent="0.25">
      <c r="A12" s="1">
        <v>2033</v>
      </c>
      <c r="B12" s="9">
        <v>20000</v>
      </c>
      <c r="C12" s="19">
        <v>98000</v>
      </c>
      <c r="D12" s="19">
        <v>65000</v>
      </c>
      <c r="E12" s="19">
        <v>49000</v>
      </c>
      <c r="F12" s="19">
        <v>39000</v>
      </c>
      <c r="G12" s="19">
        <v>78000</v>
      </c>
      <c r="H12" s="19">
        <v>28000</v>
      </c>
      <c r="I12" s="19">
        <v>50000</v>
      </c>
      <c r="J12" s="19">
        <v>22000</v>
      </c>
      <c r="K12" s="19">
        <v>0</v>
      </c>
      <c r="L12" s="9">
        <v>449000</v>
      </c>
    </row>
    <row r="13" spans="1:12" x14ac:dyDescent="0.25">
      <c r="A13" s="1">
        <v>2034</v>
      </c>
      <c r="B13" s="9">
        <v>20000</v>
      </c>
      <c r="C13" s="19">
        <v>98000</v>
      </c>
      <c r="D13" s="19">
        <v>65000</v>
      </c>
      <c r="E13" s="19">
        <v>49000</v>
      </c>
      <c r="F13" s="19">
        <v>39000</v>
      </c>
      <c r="G13" s="19">
        <v>78000</v>
      </c>
      <c r="H13" s="19">
        <v>28000</v>
      </c>
      <c r="I13" s="19">
        <v>50000</v>
      </c>
      <c r="J13" s="19">
        <v>22000</v>
      </c>
      <c r="K13" s="19">
        <v>0</v>
      </c>
      <c r="L13" s="9">
        <v>449000</v>
      </c>
    </row>
    <row r="14" spans="1:12" x14ac:dyDescent="0.25">
      <c r="A14" s="1">
        <v>2035</v>
      </c>
      <c r="B14" s="9">
        <v>20000</v>
      </c>
      <c r="C14" s="19">
        <v>98000</v>
      </c>
      <c r="D14" s="19">
        <v>65000</v>
      </c>
      <c r="E14" s="19">
        <v>49000</v>
      </c>
      <c r="F14" s="19">
        <v>39000</v>
      </c>
      <c r="G14" s="19">
        <v>78000</v>
      </c>
      <c r="H14" s="19">
        <v>28000</v>
      </c>
      <c r="I14" s="19">
        <v>50000</v>
      </c>
      <c r="J14" s="19">
        <v>22000</v>
      </c>
      <c r="K14" s="19">
        <v>0</v>
      </c>
      <c r="L14" s="9">
        <v>449000</v>
      </c>
    </row>
    <row r="15" spans="1:12" x14ac:dyDescent="0.25">
      <c r="A15" s="1">
        <v>2036</v>
      </c>
      <c r="B15" s="9">
        <v>20000</v>
      </c>
      <c r="C15" s="19">
        <v>98000</v>
      </c>
      <c r="D15" s="19">
        <v>65000</v>
      </c>
      <c r="E15" s="19">
        <v>49000</v>
      </c>
      <c r="F15" s="19">
        <v>39000</v>
      </c>
      <c r="G15" s="19">
        <v>78000</v>
      </c>
      <c r="H15" s="19">
        <v>28000</v>
      </c>
      <c r="I15" s="19">
        <v>50000</v>
      </c>
      <c r="J15" s="19">
        <v>22000</v>
      </c>
      <c r="K15" s="19">
        <v>0</v>
      </c>
      <c r="L15" s="9">
        <v>449000</v>
      </c>
    </row>
    <row r="16" spans="1:12" x14ac:dyDescent="0.25">
      <c r="A16" s="1">
        <v>2037</v>
      </c>
      <c r="B16" s="9">
        <v>20000</v>
      </c>
      <c r="C16" s="19">
        <v>98000</v>
      </c>
      <c r="D16" s="19">
        <v>65000</v>
      </c>
      <c r="E16" s="19">
        <v>0</v>
      </c>
      <c r="F16" s="19">
        <v>39000</v>
      </c>
      <c r="G16" s="19">
        <v>78000</v>
      </c>
      <c r="H16" s="19">
        <v>28000</v>
      </c>
      <c r="I16" s="19">
        <v>50000</v>
      </c>
      <c r="J16" s="19">
        <v>22000</v>
      </c>
      <c r="K16" s="19">
        <v>0</v>
      </c>
      <c r="L16" s="9">
        <v>400000</v>
      </c>
    </row>
    <row r="17" spans="1:12" x14ac:dyDescent="0.25">
      <c r="A17" s="1">
        <v>2038</v>
      </c>
      <c r="B17" s="9">
        <v>20000</v>
      </c>
      <c r="C17" s="19">
        <v>98000</v>
      </c>
      <c r="D17" s="19">
        <v>65000</v>
      </c>
      <c r="E17" s="19">
        <v>0</v>
      </c>
      <c r="F17" s="19">
        <v>39000</v>
      </c>
      <c r="G17" s="19">
        <v>78000</v>
      </c>
      <c r="H17" s="19">
        <v>28000</v>
      </c>
      <c r="I17" s="19">
        <v>50000</v>
      </c>
      <c r="J17" s="19">
        <v>22000</v>
      </c>
      <c r="K17" s="19">
        <v>0</v>
      </c>
      <c r="L17" s="9">
        <v>400000</v>
      </c>
    </row>
    <row r="18" spans="1:12" x14ac:dyDescent="0.25">
      <c r="A18" s="1">
        <v>2039</v>
      </c>
      <c r="B18" s="9">
        <v>20000</v>
      </c>
      <c r="C18" s="19">
        <v>98000</v>
      </c>
      <c r="D18" s="19">
        <v>65000</v>
      </c>
      <c r="E18" s="19">
        <v>0</v>
      </c>
      <c r="F18" s="19">
        <v>39000</v>
      </c>
      <c r="G18" s="19">
        <v>0</v>
      </c>
      <c r="H18" s="19">
        <v>28000</v>
      </c>
      <c r="I18" s="19">
        <v>50000</v>
      </c>
      <c r="J18" s="19">
        <v>22000</v>
      </c>
      <c r="K18" s="19">
        <v>0</v>
      </c>
      <c r="L18" s="9">
        <v>322000</v>
      </c>
    </row>
    <row r="19" spans="1:12" x14ac:dyDescent="0.25">
      <c r="A19" s="1">
        <v>2040</v>
      </c>
      <c r="B19" s="9">
        <v>20000</v>
      </c>
      <c r="C19" s="19">
        <v>98000</v>
      </c>
      <c r="D19" s="19">
        <v>65000</v>
      </c>
      <c r="E19" s="19">
        <v>0</v>
      </c>
      <c r="F19" s="19">
        <v>39000</v>
      </c>
      <c r="G19" s="19">
        <v>0</v>
      </c>
      <c r="H19" s="19">
        <v>28000</v>
      </c>
      <c r="I19" s="19">
        <v>50000</v>
      </c>
      <c r="J19" s="19">
        <v>22000</v>
      </c>
      <c r="K19" s="19">
        <v>0</v>
      </c>
      <c r="L19" s="9">
        <v>322000</v>
      </c>
    </row>
    <row r="20" spans="1:12" x14ac:dyDescent="0.25">
      <c r="A20" s="1">
        <v>2041</v>
      </c>
      <c r="B20" s="9">
        <v>20000</v>
      </c>
      <c r="C20" s="19">
        <v>98000</v>
      </c>
      <c r="D20" s="19">
        <v>65000</v>
      </c>
      <c r="E20" s="19">
        <v>0</v>
      </c>
      <c r="F20" s="19">
        <v>39000</v>
      </c>
      <c r="G20" s="19">
        <v>0</v>
      </c>
      <c r="H20" s="19">
        <v>28000</v>
      </c>
      <c r="I20" s="19">
        <v>50000</v>
      </c>
      <c r="J20" s="19">
        <v>22000</v>
      </c>
      <c r="K20" s="19">
        <v>0</v>
      </c>
      <c r="L20" s="9">
        <v>322000</v>
      </c>
    </row>
    <row r="21" spans="1:12" x14ac:dyDescent="0.25">
      <c r="A21" s="1">
        <v>2042</v>
      </c>
      <c r="B21" s="9">
        <v>20000</v>
      </c>
      <c r="C21" s="19">
        <v>98000</v>
      </c>
      <c r="D21" s="19">
        <v>65000</v>
      </c>
      <c r="E21" s="19">
        <v>0</v>
      </c>
      <c r="F21" s="19">
        <v>39000</v>
      </c>
      <c r="G21" s="19">
        <v>0</v>
      </c>
      <c r="H21" s="19">
        <v>28000</v>
      </c>
      <c r="I21" s="19">
        <v>50000</v>
      </c>
      <c r="J21" s="19">
        <v>22000</v>
      </c>
      <c r="K21" s="19">
        <v>0</v>
      </c>
      <c r="L21" s="9">
        <v>322000</v>
      </c>
    </row>
    <row r="22" spans="1:12" x14ac:dyDescent="0.25">
      <c r="A22" s="1">
        <v>2043</v>
      </c>
      <c r="B22" s="9">
        <v>20000</v>
      </c>
      <c r="C22" s="19">
        <v>98000</v>
      </c>
      <c r="D22" s="19">
        <v>65000</v>
      </c>
      <c r="E22" s="19">
        <v>0</v>
      </c>
      <c r="F22" s="19">
        <v>39000</v>
      </c>
      <c r="G22" s="19">
        <v>0</v>
      </c>
      <c r="H22" s="19">
        <v>28000</v>
      </c>
      <c r="I22" s="19">
        <v>50000</v>
      </c>
      <c r="J22" s="19">
        <v>22000</v>
      </c>
      <c r="K22" s="19">
        <v>0</v>
      </c>
      <c r="L22" s="9">
        <v>322000</v>
      </c>
    </row>
    <row r="23" spans="1:12" x14ac:dyDescent="0.25">
      <c r="A23" s="1">
        <v>2044</v>
      </c>
      <c r="B23" s="9">
        <v>20000</v>
      </c>
      <c r="C23" s="19">
        <v>98000</v>
      </c>
      <c r="D23" s="19">
        <v>65000</v>
      </c>
      <c r="E23" s="19">
        <v>0</v>
      </c>
      <c r="F23" s="19">
        <v>39000</v>
      </c>
      <c r="G23" s="19">
        <v>0</v>
      </c>
      <c r="H23" s="19">
        <v>28000</v>
      </c>
      <c r="I23" s="19">
        <v>50000</v>
      </c>
      <c r="J23" s="19">
        <v>22000</v>
      </c>
      <c r="K23" s="19">
        <v>0</v>
      </c>
      <c r="L23" s="9">
        <v>322000</v>
      </c>
    </row>
    <row r="24" spans="1:12" x14ac:dyDescent="0.25">
      <c r="A24" s="1">
        <v>2045</v>
      </c>
      <c r="B24" s="9">
        <v>20000</v>
      </c>
      <c r="C24" s="19">
        <v>98000</v>
      </c>
      <c r="D24" s="19">
        <v>65000</v>
      </c>
      <c r="E24" s="19">
        <v>0</v>
      </c>
      <c r="F24" s="19">
        <v>39000</v>
      </c>
      <c r="G24" s="19">
        <v>0</v>
      </c>
      <c r="H24" s="19">
        <v>28000</v>
      </c>
      <c r="I24" s="19">
        <v>50000</v>
      </c>
      <c r="J24" s="19">
        <v>22000</v>
      </c>
      <c r="K24" s="19">
        <v>0</v>
      </c>
      <c r="L24" s="9">
        <v>322000</v>
      </c>
    </row>
    <row r="25" spans="1:12" x14ac:dyDescent="0.25">
      <c r="A25" s="1">
        <v>2046</v>
      </c>
      <c r="B25" s="9">
        <v>20000</v>
      </c>
      <c r="C25" s="19">
        <v>98000</v>
      </c>
      <c r="D25" s="19">
        <v>65000</v>
      </c>
      <c r="E25" s="19">
        <v>0</v>
      </c>
      <c r="F25" s="19">
        <v>0</v>
      </c>
      <c r="G25" s="19">
        <v>0</v>
      </c>
      <c r="H25" s="19">
        <v>28000</v>
      </c>
      <c r="I25" s="19">
        <v>50000</v>
      </c>
      <c r="J25" s="19">
        <v>22000</v>
      </c>
      <c r="K25" s="19">
        <v>0</v>
      </c>
      <c r="L25" s="9">
        <v>283000</v>
      </c>
    </row>
    <row r="26" spans="1:12" x14ac:dyDescent="0.25">
      <c r="A26" s="1">
        <v>2047</v>
      </c>
      <c r="B26" s="9">
        <v>20000</v>
      </c>
      <c r="C26" s="19">
        <v>98000</v>
      </c>
      <c r="D26" s="19">
        <v>65000</v>
      </c>
      <c r="E26" s="19">
        <v>0</v>
      </c>
      <c r="F26" s="19">
        <v>0</v>
      </c>
      <c r="G26" s="19">
        <v>0</v>
      </c>
      <c r="H26" s="19">
        <v>28000</v>
      </c>
      <c r="I26" s="19">
        <v>50000</v>
      </c>
      <c r="J26" s="19">
        <v>22000</v>
      </c>
      <c r="K26" s="19">
        <v>0</v>
      </c>
      <c r="L26" s="9">
        <v>283000</v>
      </c>
    </row>
    <row r="27" spans="1:12" x14ac:dyDescent="0.25">
      <c r="A27" s="1">
        <v>2048</v>
      </c>
      <c r="B27" s="9">
        <v>20000</v>
      </c>
      <c r="C27" s="19">
        <v>98000</v>
      </c>
      <c r="D27" s="19">
        <v>65000</v>
      </c>
      <c r="E27" s="19">
        <v>0</v>
      </c>
      <c r="F27" s="19">
        <v>0</v>
      </c>
      <c r="G27" s="19">
        <v>0</v>
      </c>
      <c r="H27" s="19">
        <v>0</v>
      </c>
      <c r="I27" s="19">
        <v>50000</v>
      </c>
      <c r="J27" s="19">
        <v>22000</v>
      </c>
      <c r="K27" s="19">
        <v>0</v>
      </c>
      <c r="L27" s="9">
        <v>255000</v>
      </c>
    </row>
    <row r="28" spans="1:12" x14ac:dyDescent="0.25">
      <c r="A28" s="1">
        <v>2049</v>
      </c>
      <c r="B28" s="9">
        <v>0</v>
      </c>
      <c r="C28" s="19">
        <v>98000</v>
      </c>
      <c r="D28" s="19">
        <v>65000</v>
      </c>
      <c r="E28" s="19">
        <v>0</v>
      </c>
      <c r="F28" s="19">
        <v>0</v>
      </c>
      <c r="G28" s="19">
        <v>0</v>
      </c>
      <c r="H28" s="19">
        <v>0</v>
      </c>
      <c r="I28" s="19">
        <v>50000</v>
      </c>
      <c r="J28" s="19">
        <v>22000</v>
      </c>
      <c r="K28" s="19">
        <v>0</v>
      </c>
      <c r="L28" s="9">
        <v>235000</v>
      </c>
    </row>
    <row r="29" spans="1:12" x14ac:dyDescent="0.25">
      <c r="A29" s="1">
        <v>2050</v>
      </c>
      <c r="B29" s="9">
        <v>0</v>
      </c>
      <c r="C29" s="19">
        <v>98000</v>
      </c>
      <c r="D29" s="19">
        <v>65000</v>
      </c>
      <c r="E29" s="19">
        <v>0</v>
      </c>
      <c r="F29" s="19">
        <v>0</v>
      </c>
      <c r="G29" s="19">
        <v>0</v>
      </c>
      <c r="H29" s="19">
        <v>0</v>
      </c>
      <c r="I29" s="19">
        <v>50000</v>
      </c>
      <c r="J29" s="19">
        <v>22000</v>
      </c>
      <c r="K29" s="19">
        <v>0</v>
      </c>
      <c r="L29" s="9">
        <v>235000</v>
      </c>
    </row>
    <row r="30" spans="1:12" x14ac:dyDescent="0.25">
      <c r="A30" s="1">
        <v>2051</v>
      </c>
      <c r="B30" s="9">
        <v>0</v>
      </c>
      <c r="C30" s="19">
        <v>98000</v>
      </c>
      <c r="D30" s="19">
        <v>65000</v>
      </c>
      <c r="E30" s="19">
        <v>0</v>
      </c>
      <c r="F30" s="19">
        <v>0</v>
      </c>
      <c r="G30" s="19">
        <v>0</v>
      </c>
      <c r="H30" s="19">
        <v>0</v>
      </c>
      <c r="I30" s="19">
        <v>50000</v>
      </c>
      <c r="J30" s="19">
        <v>22000</v>
      </c>
      <c r="K30" s="19">
        <v>0</v>
      </c>
      <c r="L30" s="9">
        <v>235000</v>
      </c>
    </row>
    <row r="31" spans="1:12" x14ac:dyDescent="0.25">
      <c r="A31" s="1">
        <v>2052</v>
      </c>
      <c r="B31" s="9">
        <v>0</v>
      </c>
      <c r="C31" s="19">
        <v>98000</v>
      </c>
      <c r="D31" s="19">
        <v>65000</v>
      </c>
      <c r="E31" s="19">
        <v>0</v>
      </c>
      <c r="F31" s="19">
        <v>0</v>
      </c>
      <c r="G31" s="19">
        <v>0</v>
      </c>
      <c r="H31" s="19">
        <v>0</v>
      </c>
      <c r="I31" s="19">
        <v>50000</v>
      </c>
      <c r="J31" s="19">
        <v>22000</v>
      </c>
      <c r="K31" s="19">
        <v>0</v>
      </c>
      <c r="L31" s="9">
        <v>235000</v>
      </c>
    </row>
    <row r="32" spans="1:12" x14ac:dyDescent="0.25">
      <c r="A32" s="1">
        <v>2053</v>
      </c>
      <c r="B32" s="9">
        <v>0</v>
      </c>
      <c r="C32" s="19">
        <v>0</v>
      </c>
      <c r="D32" s="19">
        <v>65000</v>
      </c>
      <c r="E32" s="19">
        <v>0</v>
      </c>
      <c r="F32" s="19">
        <v>0</v>
      </c>
      <c r="G32" s="19">
        <v>0</v>
      </c>
      <c r="H32" s="19">
        <v>0</v>
      </c>
      <c r="I32" s="19">
        <v>50000</v>
      </c>
      <c r="J32" s="19">
        <v>22000</v>
      </c>
      <c r="K32" s="19">
        <v>0</v>
      </c>
      <c r="L32" s="9">
        <v>137000</v>
      </c>
    </row>
    <row r="33" spans="1:12" x14ac:dyDescent="0.25">
      <c r="A33" s="1">
        <v>2054</v>
      </c>
      <c r="B33" s="9">
        <v>0</v>
      </c>
      <c r="C33" s="19">
        <v>0</v>
      </c>
      <c r="D33" s="19">
        <v>0</v>
      </c>
      <c r="E33" s="19">
        <v>0</v>
      </c>
      <c r="F33" s="19">
        <v>0</v>
      </c>
      <c r="G33" s="19">
        <v>0</v>
      </c>
      <c r="H33" s="19">
        <v>0</v>
      </c>
      <c r="I33" s="19">
        <v>50000</v>
      </c>
      <c r="J33" s="19">
        <v>22000</v>
      </c>
      <c r="K33" s="19">
        <v>0</v>
      </c>
      <c r="L33" s="9">
        <v>72000</v>
      </c>
    </row>
    <row r="34" spans="1:12" x14ac:dyDescent="0.25">
      <c r="A34" s="1">
        <v>2055</v>
      </c>
      <c r="B34" s="9">
        <v>0</v>
      </c>
      <c r="C34" s="19">
        <v>0</v>
      </c>
      <c r="D34" s="19">
        <v>0</v>
      </c>
      <c r="E34" s="19">
        <v>0</v>
      </c>
      <c r="F34" s="19">
        <v>0</v>
      </c>
      <c r="G34" s="19">
        <v>0</v>
      </c>
      <c r="H34" s="19">
        <v>0</v>
      </c>
      <c r="I34" s="19">
        <v>50000</v>
      </c>
      <c r="J34" s="19">
        <v>22000</v>
      </c>
      <c r="K34" s="19">
        <v>0</v>
      </c>
      <c r="L34" s="9">
        <v>72000</v>
      </c>
    </row>
    <row r="35" spans="1:12" x14ac:dyDescent="0.25">
      <c r="A35" s="1">
        <v>2056</v>
      </c>
      <c r="B35" s="9">
        <v>0</v>
      </c>
      <c r="C35" s="19">
        <v>0</v>
      </c>
      <c r="D35" s="19">
        <v>0</v>
      </c>
      <c r="E35" s="19">
        <v>0</v>
      </c>
      <c r="F35" s="19">
        <v>0</v>
      </c>
      <c r="G35" s="19">
        <v>0</v>
      </c>
      <c r="H35" s="19">
        <v>0</v>
      </c>
      <c r="I35" s="19">
        <v>50000</v>
      </c>
      <c r="J35" s="19">
        <v>0</v>
      </c>
      <c r="K35" s="19">
        <v>0</v>
      </c>
      <c r="L35" s="9">
        <v>50000</v>
      </c>
    </row>
    <row r="36" spans="1:12" x14ac:dyDescent="0.25">
      <c r="A36" s="1">
        <v>2057</v>
      </c>
      <c r="B36" s="9">
        <v>0</v>
      </c>
      <c r="C36" s="19">
        <v>0</v>
      </c>
      <c r="D36" s="19">
        <v>0</v>
      </c>
      <c r="E36" s="19">
        <v>0</v>
      </c>
      <c r="F36" s="19">
        <v>0</v>
      </c>
      <c r="G36" s="19">
        <v>0</v>
      </c>
      <c r="H36" s="19">
        <v>0</v>
      </c>
      <c r="I36" s="19">
        <v>50000</v>
      </c>
      <c r="J36" s="19">
        <v>0</v>
      </c>
      <c r="K36" s="19">
        <v>0</v>
      </c>
      <c r="L36" s="9">
        <v>50000</v>
      </c>
    </row>
    <row r="37" spans="1:12" x14ac:dyDescent="0.25">
      <c r="A37" s="1">
        <v>2058</v>
      </c>
      <c r="B37" s="9">
        <v>0</v>
      </c>
      <c r="C37" s="19">
        <v>0</v>
      </c>
      <c r="D37" s="19">
        <v>0</v>
      </c>
      <c r="E37" s="19">
        <v>0</v>
      </c>
      <c r="F37" s="19">
        <v>0</v>
      </c>
      <c r="G37" s="19">
        <v>0</v>
      </c>
      <c r="H37" s="19">
        <v>0</v>
      </c>
      <c r="I37" s="19">
        <v>0</v>
      </c>
      <c r="J37" s="19">
        <v>0</v>
      </c>
      <c r="K37" s="19">
        <v>0</v>
      </c>
      <c r="L37" s="9">
        <v>0</v>
      </c>
    </row>
    <row r="38" spans="1:12" x14ac:dyDescent="0.25">
      <c r="A38" s="1">
        <v>2059</v>
      </c>
      <c r="B38" s="9">
        <v>0</v>
      </c>
      <c r="C38" s="19">
        <v>0</v>
      </c>
      <c r="D38" s="19">
        <v>0</v>
      </c>
      <c r="E38" s="19">
        <v>0</v>
      </c>
      <c r="F38" s="19">
        <v>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9">
        <v>0</v>
      </c>
    </row>
    <row r="39" spans="1:12" x14ac:dyDescent="0.25">
      <c r="A39" s="1">
        <v>2060</v>
      </c>
      <c r="B39" s="9">
        <v>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9">
        <v>0</v>
      </c>
    </row>
    <row r="40" spans="1:12" x14ac:dyDescent="0.25">
      <c r="A40" s="1">
        <v>2061</v>
      </c>
      <c r="B40" s="9">
        <v>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9">
        <v>0</v>
      </c>
    </row>
    <row r="41" spans="1:12" x14ac:dyDescent="0.25">
      <c r="A41" s="1">
        <v>2062</v>
      </c>
      <c r="B41" s="9">
        <v>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9">
        <v>0</v>
      </c>
    </row>
    <row r="42" spans="1:12" x14ac:dyDescent="0.25">
      <c r="A42" s="1">
        <v>2063</v>
      </c>
      <c r="B42" s="9">
        <v>0</v>
      </c>
      <c r="C42" s="19">
        <v>0</v>
      </c>
      <c r="D42" s="19">
        <v>0</v>
      </c>
      <c r="E42" s="19">
        <v>0</v>
      </c>
      <c r="F42" s="19">
        <v>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9">
        <v>0</v>
      </c>
    </row>
    <row r="43" spans="1:12" x14ac:dyDescent="0.25">
      <c r="A43" s="1">
        <v>2064</v>
      </c>
      <c r="B43" s="9">
        <v>0</v>
      </c>
      <c r="C43" s="19">
        <v>0</v>
      </c>
      <c r="D43" s="19">
        <v>0</v>
      </c>
      <c r="E43" s="19">
        <v>0</v>
      </c>
      <c r="F43" s="19">
        <v>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9">
        <v>0</v>
      </c>
    </row>
    <row r="44" spans="1:12" x14ac:dyDescent="0.25">
      <c r="A44" s="1">
        <v>2065</v>
      </c>
      <c r="B44" s="9">
        <v>0</v>
      </c>
      <c r="C44" s="19">
        <v>0</v>
      </c>
      <c r="D44" s="19">
        <v>0</v>
      </c>
      <c r="E44" s="19">
        <v>0</v>
      </c>
      <c r="F44" s="19">
        <v>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9">
        <v>0</v>
      </c>
    </row>
    <row r="45" spans="1:12" x14ac:dyDescent="0.25">
      <c r="A45" s="1">
        <v>2066</v>
      </c>
      <c r="B45" s="9">
        <v>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9">
        <v>0</v>
      </c>
    </row>
    <row r="46" spans="1:12" x14ac:dyDescent="0.25">
      <c r="A46" s="1">
        <v>2067</v>
      </c>
      <c r="B46" s="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9">
        <v>0</v>
      </c>
    </row>
    <row r="47" spans="1:12" x14ac:dyDescent="0.25">
      <c r="A47" s="1">
        <v>2068</v>
      </c>
      <c r="B47" s="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9">
        <v>0</v>
      </c>
    </row>
    <row r="48" spans="1:12" x14ac:dyDescent="0.25">
      <c r="A48" s="1">
        <v>2069</v>
      </c>
      <c r="B48" s="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9">
        <v>0</v>
      </c>
    </row>
    <row r="49" spans="1:12" x14ac:dyDescent="0.25">
      <c r="A49" s="1">
        <v>2070</v>
      </c>
      <c r="B49" s="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9">
        <v>0</v>
      </c>
    </row>
    <row r="50" spans="1:12" x14ac:dyDescent="0.25">
      <c r="A50" s="1">
        <v>2071</v>
      </c>
      <c r="B50" s="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9">
        <v>0</v>
      </c>
    </row>
    <row r="51" spans="1:12" x14ac:dyDescent="0.25">
      <c r="A51" s="1">
        <v>2072</v>
      </c>
      <c r="B51" s="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9">
        <v>0</v>
      </c>
    </row>
    <row r="52" spans="1:12" x14ac:dyDescent="0.25">
      <c r="A52" s="1">
        <v>2073</v>
      </c>
      <c r="B52" s="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9">
        <v>0</v>
      </c>
    </row>
    <row r="53" spans="1:12" x14ac:dyDescent="0.25">
      <c r="A53" s="1">
        <v>2074</v>
      </c>
      <c r="B53" s="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9">
        <v>0</v>
      </c>
    </row>
    <row r="54" spans="1:12" x14ac:dyDescent="0.25">
      <c r="A54" s="1">
        <v>2075</v>
      </c>
      <c r="B54" s="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9">
        <v>0</v>
      </c>
    </row>
    <row r="55" spans="1:12" x14ac:dyDescent="0.25">
      <c r="A55" s="1">
        <v>2076</v>
      </c>
      <c r="B55" s="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9">
        <v>0</v>
      </c>
    </row>
    <row r="56" spans="1:12" x14ac:dyDescent="0.25">
      <c r="A56" s="1">
        <v>2077</v>
      </c>
      <c r="B56" s="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9">
        <v>0</v>
      </c>
    </row>
    <row r="57" spans="1:12" x14ac:dyDescent="0.25">
      <c r="A57" s="1">
        <v>2078</v>
      </c>
      <c r="B57" s="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9">
        <v>0</v>
      </c>
    </row>
    <row r="58" spans="1:12" x14ac:dyDescent="0.25">
      <c r="A58" s="1">
        <v>2079</v>
      </c>
      <c r="B58" s="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9">
        <v>0</v>
      </c>
    </row>
    <row r="59" spans="1:12" x14ac:dyDescent="0.25">
      <c r="A59" s="1">
        <v>2080</v>
      </c>
      <c r="B59" s="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9">
        <v>0</v>
      </c>
    </row>
    <row r="60" spans="1:12" x14ac:dyDescent="0.25">
      <c r="A60" s="1">
        <v>2081</v>
      </c>
      <c r="B60" s="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9">
        <v>0</v>
      </c>
    </row>
    <row r="61" spans="1:12" x14ac:dyDescent="0.25">
      <c r="A61" s="1">
        <v>2082</v>
      </c>
      <c r="B61" s="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9">
        <v>0</v>
      </c>
    </row>
    <row r="62" spans="1:12" x14ac:dyDescent="0.25">
      <c r="A62" s="1">
        <v>2083</v>
      </c>
      <c r="B62" s="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9">
        <v>0</v>
      </c>
    </row>
    <row r="63" spans="1:12" x14ac:dyDescent="0.25">
      <c r="A63" s="1">
        <v>2084</v>
      </c>
      <c r="B63" s="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9">
        <v>0</v>
      </c>
    </row>
    <row r="64" spans="1:12" x14ac:dyDescent="0.25">
      <c r="A64" s="1">
        <v>2085</v>
      </c>
      <c r="B64" s="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9">
        <v>0</v>
      </c>
    </row>
  </sheetData>
  <mergeCells count="1">
    <mergeCell ref="B2:K2"/>
  </mergeCells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9F8D8-AA95-824D-81D7-0F0D1B31EAB0}">
  <sheetPr codeName="Sheet7"/>
  <dimension ref="A1:Z6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58" sqref="G58"/>
    </sheetView>
  </sheetViews>
  <sheetFormatPr defaultColWidth="11" defaultRowHeight="15.75" x14ac:dyDescent="0.25"/>
  <cols>
    <col min="1" max="1" width="13.375" customWidth="1"/>
    <col min="2" max="26" width="10.5" style="1" customWidth="1"/>
  </cols>
  <sheetData>
    <row r="1" spans="1:26" x14ac:dyDescent="0.25">
      <c r="A1" s="8"/>
    </row>
    <row r="2" spans="1:26" x14ac:dyDescent="0.25">
      <c r="A2" s="8" t="s">
        <v>83</v>
      </c>
      <c r="B2" s="10">
        <v>0.04</v>
      </c>
      <c r="C2" s="3"/>
    </row>
    <row r="5" spans="1:26" x14ac:dyDescent="0.25">
      <c r="A5" s="8" t="s">
        <v>78</v>
      </c>
      <c r="B5" s="4">
        <v>4881770.4184879111</v>
      </c>
      <c r="C5" s="4">
        <v>6464493.9341324223</v>
      </c>
      <c r="D5" s="4">
        <v>6393318.6808940759</v>
      </c>
      <c r="E5" s="4">
        <v>6815173.281182305</v>
      </c>
      <c r="F5" s="4">
        <v>6562342.7320499187</v>
      </c>
      <c r="G5" s="4">
        <v>6239916.8274224801</v>
      </c>
      <c r="H5" s="4">
        <v>6521136.4769601701</v>
      </c>
      <c r="I5" s="4">
        <v>6084513.0918401834</v>
      </c>
      <c r="J5" s="4">
        <v>5268218.2838305794</v>
      </c>
      <c r="K5" s="4">
        <v>6629088.6698840391</v>
      </c>
      <c r="L5" s="4">
        <v>5280661.197716956</v>
      </c>
      <c r="M5" s="4">
        <v>5720766.8270355035</v>
      </c>
      <c r="N5" s="4">
        <v>7030853.9948557578</v>
      </c>
      <c r="O5" s="4">
        <v>6574819.4146733023</v>
      </c>
      <c r="P5" s="4">
        <v>5763305.4297336172</v>
      </c>
      <c r="Q5" s="4">
        <v>6245744.3290873477</v>
      </c>
      <c r="R5" s="4">
        <v>6230236.9954434354</v>
      </c>
      <c r="S5" s="4">
        <v>6482526.4792005252</v>
      </c>
      <c r="T5" s="4">
        <v>6201928.6924466584</v>
      </c>
      <c r="U5" s="4">
        <v>4932313.3159443904</v>
      </c>
      <c r="V5" s="4">
        <v>6209889.6282906411</v>
      </c>
      <c r="W5" s="4">
        <v>6767161.6014375491</v>
      </c>
      <c r="X5" s="4">
        <v>6403134.7756604757</v>
      </c>
      <c r="Y5" s="4">
        <v>7311089.0164207686</v>
      </c>
      <c r="Z5" s="4">
        <v>6931581.0000810418</v>
      </c>
    </row>
    <row r="6" spans="1:26" x14ac:dyDescent="0.25">
      <c r="B6" s="38" t="s">
        <v>72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x14ac:dyDescent="0.25">
      <c r="A7" s="1" t="s">
        <v>71</v>
      </c>
      <c r="B7" s="1">
        <v>1</v>
      </c>
      <c r="C7" s="1">
        <v>2</v>
      </c>
      <c r="D7" s="1">
        <v>3</v>
      </c>
      <c r="E7" s="1">
        <v>4</v>
      </c>
      <c r="F7" s="1">
        <v>5</v>
      </c>
      <c r="G7" s="1">
        <v>6</v>
      </c>
      <c r="H7" s="1">
        <v>7</v>
      </c>
      <c r="I7" s="1">
        <v>8</v>
      </c>
      <c r="J7" s="1">
        <v>9</v>
      </c>
      <c r="K7" s="1">
        <v>10</v>
      </c>
      <c r="L7" s="1">
        <v>11</v>
      </c>
      <c r="M7" s="1">
        <v>12</v>
      </c>
      <c r="N7" s="1">
        <v>13</v>
      </c>
      <c r="O7" s="1">
        <v>14</v>
      </c>
      <c r="P7" s="1">
        <v>15</v>
      </c>
      <c r="Q7" s="1">
        <v>16</v>
      </c>
      <c r="R7" s="1">
        <v>17</v>
      </c>
      <c r="S7" s="1">
        <v>18</v>
      </c>
      <c r="T7" s="1">
        <v>19</v>
      </c>
      <c r="U7" s="1">
        <v>20</v>
      </c>
      <c r="V7" s="1">
        <v>21</v>
      </c>
      <c r="W7" s="1">
        <v>22</v>
      </c>
      <c r="X7" s="1">
        <v>23</v>
      </c>
      <c r="Y7" s="1">
        <v>24</v>
      </c>
      <c r="Z7" s="1">
        <v>25</v>
      </c>
    </row>
    <row r="8" spans="1:26" x14ac:dyDescent="0.25">
      <c r="A8" s="1">
        <v>2025</v>
      </c>
      <c r="B8" s="19">
        <v>545000</v>
      </c>
      <c r="C8" s="19">
        <v>545000</v>
      </c>
      <c r="D8" s="19">
        <v>545000</v>
      </c>
      <c r="E8" s="19">
        <v>545000</v>
      </c>
      <c r="F8" s="19">
        <v>545000</v>
      </c>
      <c r="G8" s="19">
        <v>545000</v>
      </c>
      <c r="H8" s="19">
        <v>545000</v>
      </c>
      <c r="I8" s="19">
        <v>545000</v>
      </c>
      <c r="J8" s="19">
        <v>545000</v>
      </c>
      <c r="K8" s="19">
        <v>545000</v>
      </c>
      <c r="L8" s="19">
        <v>545000</v>
      </c>
      <c r="M8" s="19">
        <v>545000</v>
      </c>
      <c r="N8" s="19">
        <v>545000</v>
      </c>
      <c r="O8" s="19">
        <v>545000</v>
      </c>
      <c r="P8" s="19">
        <v>545000</v>
      </c>
      <c r="Q8" s="19">
        <v>545000</v>
      </c>
      <c r="R8" s="19">
        <v>523000</v>
      </c>
      <c r="S8" s="19">
        <v>545000</v>
      </c>
      <c r="T8" s="19">
        <v>545000</v>
      </c>
      <c r="U8" s="19">
        <v>449000</v>
      </c>
      <c r="V8" s="19">
        <v>545000</v>
      </c>
      <c r="W8" s="19">
        <v>545000</v>
      </c>
      <c r="X8" s="19">
        <v>545000</v>
      </c>
      <c r="Y8" s="19">
        <v>545000</v>
      </c>
      <c r="Z8" s="19">
        <v>545000</v>
      </c>
    </row>
    <row r="9" spans="1:26" x14ac:dyDescent="0.25">
      <c r="A9" s="1">
        <v>2026</v>
      </c>
      <c r="B9" s="19">
        <v>545000</v>
      </c>
      <c r="C9" s="19">
        <v>545000</v>
      </c>
      <c r="D9" s="19">
        <v>545000</v>
      </c>
      <c r="E9" s="19">
        <v>545000</v>
      </c>
      <c r="F9" s="19">
        <v>545000</v>
      </c>
      <c r="G9" s="19">
        <v>545000</v>
      </c>
      <c r="H9" s="19">
        <v>545000</v>
      </c>
      <c r="I9" s="19">
        <v>545000</v>
      </c>
      <c r="J9" s="19">
        <v>545000</v>
      </c>
      <c r="K9" s="19">
        <v>545000</v>
      </c>
      <c r="L9" s="19">
        <v>545000</v>
      </c>
      <c r="M9" s="19">
        <v>545000</v>
      </c>
      <c r="N9" s="19">
        <v>545000</v>
      </c>
      <c r="O9" s="19">
        <v>545000</v>
      </c>
      <c r="P9" s="19">
        <v>545000</v>
      </c>
      <c r="Q9" s="19">
        <v>545000</v>
      </c>
      <c r="R9" s="19">
        <v>523000</v>
      </c>
      <c r="S9" s="19">
        <v>517000</v>
      </c>
      <c r="T9" s="19">
        <v>545000</v>
      </c>
      <c r="U9" s="19">
        <v>449000</v>
      </c>
      <c r="V9" s="19">
        <v>447000</v>
      </c>
      <c r="W9" s="19">
        <v>545000</v>
      </c>
      <c r="X9" s="19">
        <v>495000</v>
      </c>
      <c r="Y9" s="19">
        <v>545000</v>
      </c>
      <c r="Z9" s="19">
        <v>545000</v>
      </c>
    </row>
    <row r="10" spans="1:26" x14ac:dyDescent="0.25">
      <c r="A10" s="1">
        <v>2027</v>
      </c>
      <c r="B10" s="19">
        <v>545000</v>
      </c>
      <c r="C10" s="19">
        <v>496000</v>
      </c>
      <c r="D10" s="19">
        <v>545000</v>
      </c>
      <c r="E10" s="19">
        <v>545000</v>
      </c>
      <c r="F10" s="19">
        <v>496000</v>
      </c>
      <c r="G10" s="19">
        <v>545000</v>
      </c>
      <c r="H10" s="19">
        <v>545000</v>
      </c>
      <c r="I10" s="19">
        <v>545000</v>
      </c>
      <c r="J10" s="19">
        <v>545000</v>
      </c>
      <c r="K10" s="19">
        <v>545000</v>
      </c>
      <c r="L10" s="19">
        <v>545000</v>
      </c>
      <c r="M10" s="19">
        <v>545000</v>
      </c>
      <c r="N10" s="19">
        <v>545000</v>
      </c>
      <c r="O10" s="19">
        <v>545000</v>
      </c>
      <c r="P10" s="19">
        <v>447000</v>
      </c>
      <c r="Q10" s="19">
        <v>506000</v>
      </c>
      <c r="R10" s="19">
        <v>523000</v>
      </c>
      <c r="S10" s="19">
        <v>517000</v>
      </c>
      <c r="T10" s="19">
        <v>545000</v>
      </c>
      <c r="U10" s="19">
        <v>399000</v>
      </c>
      <c r="V10" s="19">
        <v>447000</v>
      </c>
      <c r="W10" s="19">
        <v>545000</v>
      </c>
      <c r="X10" s="19">
        <v>495000</v>
      </c>
      <c r="Y10" s="19">
        <v>545000</v>
      </c>
      <c r="Z10" s="19">
        <v>545000</v>
      </c>
    </row>
    <row r="11" spans="1:26" x14ac:dyDescent="0.25">
      <c r="A11" s="1">
        <v>2028</v>
      </c>
      <c r="B11" s="19">
        <v>447000</v>
      </c>
      <c r="C11" s="19">
        <v>496000</v>
      </c>
      <c r="D11" s="19">
        <v>545000</v>
      </c>
      <c r="E11" s="19">
        <v>545000</v>
      </c>
      <c r="F11" s="19">
        <v>496000</v>
      </c>
      <c r="G11" s="19">
        <v>545000</v>
      </c>
      <c r="H11" s="19">
        <v>545000</v>
      </c>
      <c r="I11" s="19">
        <v>545000</v>
      </c>
      <c r="J11" s="19">
        <v>545000</v>
      </c>
      <c r="K11" s="19">
        <v>545000</v>
      </c>
      <c r="L11" s="19">
        <v>545000</v>
      </c>
      <c r="M11" s="19">
        <v>545000</v>
      </c>
      <c r="N11" s="19">
        <v>545000</v>
      </c>
      <c r="O11" s="19">
        <v>545000</v>
      </c>
      <c r="P11" s="19">
        <v>447000</v>
      </c>
      <c r="Q11" s="19">
        <v>506000</v>
      </c>
      <c r="R11" s="19">
        <v>523000</v>
      </c>
      <c r="S11" s="19">
        <v>517000</v>
      </c>
      <c r="T11" s="19">
        <v>545000</v>
      </c>
      <c r="U11" s="19">
        <v>399000</v>
      </c>
      <c r="V11" s="19">
        <v>447000</v>
      </c>
      <c r="W11" s="19">
        <v>545000</v>
      </c>
      <c r="X11" s="19">
        <v>495000</v>
      </c>
      <c r="Y11" s="19">
        <v>467000</v>
      </c>
      <c r="Z11" s="19">
        <v>545000</v>
      </c>
    </row>
    <row r="12" spans="1:26" x14ac:dyDescent="0.25">
      <c r="A12" s="1">
        <v>2029</v>
      </c>
      <c r="B12" s="19">
        <v>369000</v>
      </c>
      <c r="C12" s="19">
        <v>496000</v>
      </c>
      <c r="D12" s="19">
        <v>545000</v>
      </c>
      <c r="E12" s="19">
        <v>545000</v>
      </c>
      <c r="F12" s="19">
        <v>496000</v>
      </c>
      <c r="G12" s="19">
        <v>545000</v>
      </c>
      <c r="H12" s="19">
        <v>545000</v>
      </c>
      <c r="I12" s="19">
        <v>545000</v>
      </c>
      <c r="J12" s="19">
        <v>545000</v>
      </c>
      <c r="K12" s="19">
        <v>545000</v>
      </c>
      <c r="L12" s="19">
        <v>517000</v>
      </c>
      <c r="M12" s="19">
        <v>545000</v>
      </c>
      <c r="N12" s="19">
        <v>545000</v>
      </c>
      <c r="O12" s="19">
        <v>545000</v>
      </c>
      <c r="P12" s="19">
        <v>447000</v>
      </c>
      <c r="Q12" s="19">
        <v>506000</v>
      </c>
      <c r="R12" s="19">
        <v>453000</v>
      </c>
      <c r="S12" s="19">
        <v>517000</v>
      </c>
      <c r="T12" s="19">
        <v>545000</v>
      </c>
      <c r="U12" s="19">
        <v>399000</v>
      </c>
      <c r="V12" s="19">
        <v>447000</v>
      </c>
      <c r="W12" s="19">
        <v>495000</v>
      </c>
      <c r="X12" s="19">
        <v>495000</v>
      </c>
      <c r="Y12" s="19">
        <v>467000</v>
      </c>
      <c r="Z12" s="19">
        <v>449000</v>
      </c>
    </row>
    <row r="13" spans="1:26" x14ac:dyDescent="0.25">
      <c r="A13" s="1">
        <v>2030</v>
      </c>
      <c r="B13" s="19">
        <v>369000</v>
      </c>
      <c r="C13" s="19">
        <v>496000</v>
      </c>
      <c r="D13" s="19">
        <v>545000</v>
      </c>
      <c r="E13" s="19">
        <v>545000</v>
      </c>
      <c r="F13" s="19">
        <v>496000</v>
      </c>
      <c r="G13" s="19">
        <v>545000</v>
      </c>
      <c r="H13" s="19">
        <v>495000</v>
      </c>
      <c r="I13" s="19">
        <v>525000</v>
      </c>
      <c r="J13" s="19">
        <v>545000</v>
      </c>
      <c r="K13" s="19">
        <v>545000</v>
      </c>
      <c r="L13" s="19">
        <v>517000</v>
      </c>
      <c r="M13" s="19">
        <v>545000</v>
      </c>
      <c r="N13" s="19">
        <v>545000</v>
      </c>
      <c r="O13" s="19">
        <v>545000</v>
      </c>
      <c r="P13" s="19">
        <v>447000</v>
      </c>
      <c r="Q13" s="19">
        <v>506000</v>
      </c>
      <c r="R13" s="19">
        <v>453000</v>
      </c>
      <c r="S13" s="19">
        <v>517000</v>
      </c>
      <c r="T13" s="19">
        <v>545000</v>
      </c>
      <c r="U13" s="19">
        <v>399000</v>
      </c>
      <c r="V13" s="19">
        <v>447000</v>
      </c>
      <c r="W13" s="19">
        <v>495000</v>
      </c>
      <c r="X13" s="19">
        <v>495000</v>
      </c>
      <c r="Y13" s="19">
        <v>467000</v>
      </c>
      <c r="Z13" s="19">
        <v>449000</v>
      </c>
    </row>
    <row r="14" spans="1:26" x14ac:dyDescent="0.25">
      <c r="A14" s="1">
        <v>2031</v>
      </c>
      <c r="B14" s="19">
        <v>369000</v>
      </c>
      <c r="C14" s="19">
        <v>496000</v>
      </c>
      <c r="D14" s="19">
        <v>545000</v>
      </c>
      <c r="E14" s="19">
        <v>545000</v>
      </c>
      <c r="F14" s="19">
        <v>496000</v>
      </c>
      <c r="G14" s="19">
        <v>495000</v>
      </c>
      <c r="H14" s="19">
        <v>495000</v>
      </c>
      <c r="I14" s="19">
        <v>525000</v>
      </c>
      <c r="J14" s="19">
        <v>545000</v>
      </c>
      <c r="K14" s="19">
        <v>545000</v>
      </c>
      <c r="L14" s="19">
        <v>419000</v>
      </c>
      <c r="M14" s="19">
        <v>545000</v>
      </c>
      <c r="N14" s="19">
        <v>545000</v>
      </c>
      <c r="O14" s="19">
        <v>545000</v>
      </c>
      <c r="P14" s="19">
        <v>447000</v>
      </c>
      <c r="Q14" s="19">
        <v>506000</v>
      </c>
      <c r="R14" s="19">
        <v>453000</v>
      </c>
      <c r="S14" s="19">
        <v>517000</v>
      </c>
      <c r="T14" s="19">
        <v>467000</v>
      </c>
      <c r="U14" s="19">
        <v>399000</v>
      </c>
      <c r="V14" s="19">
        <v>447000</v>
      </c>
      <c r="W14" s="19">
        <v>495000</v>
      </c>
      <c r="X14" s="19">
        <v>495000</v>
      </c>
      <c r="Y14" s="19">
        <v>467000</v>
      </c>
      <c r="Z14" s="19">
        <v>449000</v>
      </c>
    </row>
    <row r="15" spans="1:26" x14ac:dyDescent="0.25">
      <c r="A15" s="1">
        <v>2032</v>
      </c>
      <c r="B15" s="19">
        <v>320000</v>
      </c>
      <c r="C15" s="19">
        <v>496000</v>
      </c>
      <c r="D15" s="19">
        <v>545000</v>
      </c>
      <c r="E15" s="19">
        <v>545000</v>
      </c>
      <c r="F15" s="19">
        <v>496000</v>
      </c>
      <c r="G15" s="19">
        <v>456000</v>
      </c>
      <c r="H15" s="19">
        <v>495000</v>
      </c>
      <c r="I15" s="19">
        <v>447000</v>
      </c>
      <c r="J15" s="19">
        <v>545000</v>
      </c>
      <c r="K15" s="19">
        <v>545000</v>
      </c>
      <c r="L15" s="19">
        <v>369000</v>
      </c>
      <c r="M15" s="19">
        <v>447000</v>
      </c>
      <c r="N15" s="19">
        <v>545000</v>
      </c>
      <c r="O15" s="19">
        <v>545000</v>
      </c>
      <c r="P15" s="19">
        <v>419000</v>
      </c>
      <c r="Q15" s="19">
        <v>457000</v>
      </c>
      <c r="R15" s="19">
        <v>453000</v>
      </c>
      <c r="S15" s="19">
        <v>468000</v>
      </c>
      <c r="T15" s="19">
        <v>467000</v>
      </c>
      <c r="U15" s="19">
        <v>399000</v>
      </c>
      <c r="V15" s="19">
        <v>447000</v>
      </c>
      <c r="W15" s="19">
        <v>495000</v>
      </c>
      <c r="X15" s="19">
        <v>495000</v>
      </c>
      <c r="Y15" s="19">
        <v>467000</v>
      </c>
      <c r="Z15" s="19">
        <v>449000</v>
      </c>
    </row>
    <row r="16" spans="1:26" x14ac:dyDescent="0.25">
      <c r="A16" s="1">
        <v>2033</v>
      </c>
      <c r="B16" s="19">
        <v>320000</v>
      </c>
      <c r="C16" s="19">
        <v>496000</v>
      </c>
      <c r="D16" s="19">
        <v>447000</v>
      </c>
      <c r="E16" s="19">
        <v>545000</v>
      </c>
      <c r="F16" s="19">
        <v>496000</v>
      </c>
      <c r="G16" s="19">
        <v>360000</v>
      </c>
      <c r="H16" s="19">
        <v>495000</v>
      </c>
      <c r="I16" s="19">
        <v>447000</v>
      </c>
      <c r="J16" s="19">
        <v>467000</v>
      </c>
      <c r="K16" s="19">
        <v>545000</v>
      </c>
      <c r="L16" s="19">
        <v>369000</v>
      </c>
      <c r="M16" s="19">
        <v>382000</v>
      </c>
      <c r="N16" s="19">
        <v>545000</v>
      </c>
      <c r="O16" s="19">
        <v>545000</v>
      </c>
      <c r="P16" s="19">
        <v>419000</v>
      </c>
      <c r="Q16" s="19">
        <v>457000</v>
      </c>
      <c r="R16" s="19">
        <v>453000</v>
      </c>
      <c r="S16" s="19">
        <v>468000</v>
      </c>
      <c r="T16" s="19">
        <v>467000</v>
      </c>
      <c r="U16" s="19">
        <v>379000</v>
      </c>
      <c r="V16" s="19">
        <v>419000</v>
      </c>
      <c r="W16" s="19">
        <v>446000</v>
      </c>
      <c r="X16" s="19">
        <v>436000</v>
      </c>
      <c r="Y16" s="19">
        <v>467000</v>
      </c>
      <c r="Z16" s="19">
        <v>449000</v>
      </c>
    </row>
    <row r="17" spans="1:26" x14ac:dyDescent="0.25">
      <c r="A17" s="1">
        <v>2034</v>
      </c>
      <c r="B17" s="19">
        <v>300000</v>
      </c>
      <c r="C17" s="19">
        <v>496000</v>
      </c>
      <c r="D17" s="19">
        <v>447000</v>
      </c>
      <c r="E17" s="19">
        <v>545000</v>
      </c>
      <c r="F17" s="19">
        <v>496000</v>
      </c>
      <c r="G17" s="19">
        <v>360000</v>
      </c>
      <c r="H17" s="19">
        <v>379000</v>
      </c>
      <c r="I17" s="19">
        <v>447000</v>
      </c>
      <c r="J17" s="19">
        <v>467000</v>
      </c>
      <c r="K17" s="19">
        <v>545000</v>
      </c>
      <c r="L17" s="19">
        <v>369000</v>
      </c>
      <c r="M17" s="19">
        <v>382000</v>
      </c>
      <c r="N17" s="19">
        <v>545000</v>
      </c>
      <c r="O17" s="19">
        <v>545000</v>
      </c>
      <c r="P17" s="19">
        <v>370000</v>
      </c>
      <c r="Q17" s="19">
        <v>457000</v>
      </c>
      <c r="R17" s="19">
        <v>453000</v>
      </c>
      <c r="S17" s="19">
        <v>468000</v>
      </c>
      <c r="T17" s="19">
        <v>447000</v>
      </c>
      <c r="U17" s="19">
        <v>281000</v>
      </c>
      <c r="V17" s="19">
        <v>399000</v>
      </c>
      <c r="W17" s="19">
        <v>446000</v>
      </c>
      <c r="X17" s="19">
        <v>436000</v>
      </c>
      <c r="Y17" s="19">
        <v>467000</v>
      </c>
      <c r="Z17" s="19">
        <v>449000</v>
      </c>
    </row>
    <row r="18" spans="1:26" x14ac:dyDescent="0.25">
      <c r="A18" s="1">
        <v>2035</v>
      </c>
      <c r="B18" s="19">
        <v>250000</v>
      </c>
      <c r="C18" s="19">
        <v>457000</v>
      </c>
      <c r="D18" s="19">
        <v>447000</v>
      </c>
      <c r="E18" s="19">
        <v>545000</v>
      </c>
      <c r="F18" s="19">
        <v>446000</v>
      </c>
      <c r="G18" s="19">
        <v>360000</v>
      </c>
      <c r="H18" s="19">
        <v>379000</v>
      </c>
      <c r="I18" s="19">
        <v>398000</v>
      </c>
      <c r="J18" s="19">
        <v>402000</v>
      </c>
      <c r="K18" s="19">
        <v>545000</v>
      </c>
      <c r="L18" s="19">
        <v>369000</v>
      </c>
      <c r="M18" s="19">
        <v>354000</v>
      </c>
      <c r="N18" s="19">
        <v>545000</v>
      </c>
      <c r="O18" s="19">
        <v>545000</v>
      </c>
      <c r="P18" s="19">
        <v>370000</v>
      </c>
      <c r="Q18" s="19">
        <v>457000</v>
      </c>
      <c r="R18" s="19">
        <v>453000</v>
      </c>
      <c r="S18" s="19">
        <v>468000</v>
      </c>
      <c r="T18" s="19">
        <v>398000</v>
      </c>
      <c r="U18" s="19">
        <v>281000</v>
      </c>
      <c r="V18" s="19">
        <v>399000</v>
      </c>
      <c r="W18" s="19">
        <v>446000</v>
      </c>
      <c r="X18" s="19">
        <v>436000</v>
      </c>
      <c r="Y18" s="19">
        <v>467000</v>
      </c>
      <c r="Z18" s="19">
        <v>449000</v>
      </c>
    </row>
    <row r="19" spans="1:26" x14ac:dyDescent="0.25">
      <c r="A19" s="1">
        <v>2036</v>
      </c>
      <c r="B19" s="19">
        <v>250000</v>
      </c>
      <c r="C19" s="19">
        <v>392000</v>
      </c>
      <c r="D19" s="19">
        <v>447000</v>
      </c>
      <c r="E19" s="19">
        <v>447000</v>
      </c>
      <c r="F19" s="19">
        <v>446000</v>
      </c>
      <c r="G19" s="19">
        <v>311000</v>
      </c>
      <c r="H19" s="19">
        <v>379000</v>
      </c>
      <c r="I19" s="19">
        <v>348000</v>
      </c>
      <c r="J19" s="19">
        <v>380000</v>
      </c>
      <c r="K19" s="19">
        <v>467000</v>
      </c>
      <c r="L19" s="19">
        <v>369000</v>
      </c>
      <c r="M19" s="19">
        <v>354000</v>
      </c>
      <c r="N19" s="19">
        <v>545000</v>
      </c>
      <c r="O19" s="19">
        <v>467000</v>
      </c>
      <c r="P19" s="19">
        <v>370000</v>
      </c>
      <c r="Q19" s="19">
        <v>457000</v>
      </c>
      <c r="R19" s="19">
        <v>453000</v>
      </c>
      <c r="S19" s="19">
        <v>468000</v>
      </c>
      <c r="T19" s="19">
        <v>300000</v>
      </c>
      <c r="U19" s="19">
        <v>281000</v>
      </c>
      <c r="V19" s="19">
        <v>399000</v>
      </c>
      <c r="W19" s="19">
        <v>446000</v>
      </c>
      <c r="X19" s="19">
        <v>436000</v>
      </c>
      <c r="Y19" s="19">
        <v>467000</v>
      </c>
      <c r="Z19" s="19">
        <v>449000</v>
      </c>
    </row>
    <row r="20" spans="1:26" x14ac:dyDescent="0.25">
      <c r="A20" s="1">
        <v>2037</v>
      </c>
      <c r="B20" s="19">
        <v>250000</v>
      </c>
      <c r="C20" s="19">
        <v>392000</v>
      </c>
      <c r="D20" s="19">
        <v>447000</v>
      </c>
      <c r="E20" s="19">
        <v>447000</v>
      </c>
      <c r="F20" s="19">
        <v>446000</v>
      </c>
      <c r="G20" s="19">
        <v>311000</v>
      </c>
      <c r="H20" s="19">
        <v>379000</v>
      </c>
      <c r="I20" s="19">
        <v>348000</v>
      </c>
      <c r="J20" s="19">
        <v>193000</v>
      </c>
      <c r="K20" s="19">
        <v>417000</v>
      </c>
      <c r="L20" s="19">
        <v>255000</v>
      </c>
      <c r="M20" s="19">
        <v>304000</v>
      </c>
      <c r="N20" s="19">
        <v>495000</v>
      </c>
      <c r="O20" s="19">
        <v>369000</v>
      </c>
      <c r="P20" s="19">
        <v>370000</v>
      </c>
      <c r="Q20" s="19">
        <v>457000</v>
      </c>
      <c r="R20" s="19">
        <v>388000</v>
      </c>
      <c r="S20" s="19">
        <v>370000</v>
      </c>
      <c r="T20" s="19">
        <v>300000</v>
      </c>
      <c r="U20" s="19">
        <v>281000</v>
      </c>
      <c r="V20" s="19">
        <v>399000</v>
      </c>
      <c r="W20" s="19">
        <v>446000</v>
      </c>
      <c r="X20" s="19">
        <v>436000</v>
      </c>
      <c r="Y20" s="19">
        <v>467000</v>
      </c>
      <c r="Z20" s="19">
        <v>400000</v>
      </c>
    </row>
    <row r="21" spans="1:26" x14ac:dyDescent="0.25">
      <c r="A21" s="1">
        <v>2038</v>
      </c>
      <c r="B21" s="19">
        <v>250000</v>
      </c>
      <c r="C21" s="19">
        <v>392000</v>
      </c>
      <c r="D21" s="19">
        <v>447000</v>
      </c>
      <c r="E21" s="19">
        <v>447000</v>
      </c>
      <c r="F21" s="19">
        <v>368000</v>
      </c>
      <c r="G21" s="19">
        <v>311000</v>
      </c>
      <c r="H21" s="19">
        <v>379000</v>
      </c>
      <c r="I21" s="19">
        <v>348000</v>
      </c>
      <c r="J21" s="19">
        <v>144000</v>
      </c>
      <c r="K21" s="19">
        <v>417000</v>
      </c>
      <c r="L21" s="19">
        <v>157000</v>
      </c>
      <c r="M21" s="19">
        <v>208000</v>
      </c>
      <c r="N21" s="19">
        <v>446000</v>
      </c>
      <c r="O21" s="19">
        <v>369000</v>
      </c>
      <c r="P21" s="19">
        <v>370000</v>
      </c>
      <c r="Q21" s="19">
        <v>359000</v>
      </c>
      <c r="R21" s="19">
        <v>349000</v>
      </c>
      <c r="S21" s="19">
        <v>370000</v>
      </c>
      <c r="T21" s="19">
        <v>300000</v>
      </c>
      <c r="U21" s="19">
        <v>281000</v>
      </c>
      <c r="V21" s="19">
        <v>399000</v>
      </c>
      <c r="W21" s="19">
        <v>446000</v>
      </c>
      <c r="X21" s="19">
        <v>436000</v>
      </c>
      <c r="Y21" s="19">
        <v>467000</v>
      </c>
      <c r="Z21" s="19">
        <v>400000</v>
      </c>
    </row>
    <row r="22" spans="1:26" x14ac:dyDescent="0.25">
      <c r="A22" s="1">
        <v>2039</v>
      </c>
      <c r="B22" s="19">
        <v>250000</v>
      </c>
      <c r="C22" s="19">
        <v>314000</v>
      </c>
      <c r="D22" s="19">
        <v>349000</v>
      </c>
      <c r="E22" s="19">
        <v>398000</v>
      </c>
      <c r="F22" s="19">
        <v>368000</v>
      </c>
      <c r="G22" s="19">
        <v>311000</v>
      </c>
      <c r="H22" s="19">
        <v>340000</v>
      </c>
      <c r="I22" s="19">
        <v>348000</v>
      </c>
      <c r="J22" s="19">
        <v>48000</v>
      </c>
      <c r="K22" s="19">
        <v>321000</v>
      </c>
      <c r="L22" s="19">
        <v>157000</v>
      </c>
      <c r="M22" s="19">
        <v>208000</v>
      </c>
      <c r="N22" s="19">
        <v>446000</v>
      </c>
      <c r="O22" s="19">
        <v>369000</v>
      </c>
      <c r="P22" s="19">
        <v>320000</v>
      </c>
      <c r="Q22" s="19">
        <v>359000</v>
      </c>
      <c r="R22" s="19">
        <v>349000</v>
      </c>
      <c r="S22" s="19">
        <v>370000</v>
      </c>
      <c r="T22" s="19">
        <v>300000</v>
      </c>
      <c r="U22" s="19">
        <v>281000</v>
      </c>
      <c r="V22" s="19">
        <v>349000</v>
      </c>
      <c r="W22" s="19">
        <v>368000</v>
      </c>
      <c r="X22" s="19">
        <v>436000</v>
      </c>
      <c r="Y22" s="19">
        <v>467000</v>
      </c>
      <c r="Z22" s="19">
        <v>322000</v>
      </c>
    </row>
    <row r="23" spans="1:26" x14ac:dyDescent="0.25">
      <c r="A23" s="1">
        <v>2040</v>
      </c>
      <c r="B23" s="19">
        <v>250000</v>
      </c>
      <c r="C23" s="19">
        <v>314000</v>
      </c>
      <c r="D23" s="19">
        <v>214000</v>
      </c>
      <c r="E23" s="19">
        <v>302000</v>
      </c>
      <c r="F23" s="19">
        <v>205000</v>
      </c>
      <c r="G23" s="19">
        <v>311000</v>
      </c>
      <c r="H23" s="19">
        <v>340000</v>
      </c>
      <c r="I23" s="19">
        <v>250000</v>
      </c>
      <c r="J23" s="19">
        <v>48000</v>
      </c>
      <c r="K23" s="19">
        <v>321000</v>
      </c>
      <c r="L23" s="19">
        <v>157000</v>
      </c>
      <c r="M23" s="19">
        <v>208000</v>
      </c>
      <c r="N23" s="19">
        <v>446000</v>
      </c>
      <c r="O23" s="19">
        <v>369000</v>
      </c>
      <c r="P23" s="19">
        <v>320000</v>
      </c>
      <c r="Q23" s="19">
        <v>309000</v>
      </c>
      <c r="R23" s="19">
        <v>349000</v>
      </c>
      <c r="S23" s="19">
        <v>370000</v>
      </c>
      <c r="T23" s="19">
        <v>261000</v>
      </c>
      <c r="U23" s="19">
        <v>281000</v>
      </c>
      <c r="V23" s="19">
        <v>349000</v>
      </c>
      <c r="W23" s="19">
        <v>368000</v>
      </c>
      <c r="X23" s="19">
        <v>436000</v>
      </c>
      <c r="Y23" s="19">
        <v>467000</v>
      </c>
      <c r="Z23" s="19">
        <v>322000</v>
      </c>
    </row>
    <row r="24" spans="1:26" x14ac:dyDescent="0.25">
      <c r="A24" s="1">
        <v>2041</v>
      </c>
      <c r="B24" s="19">
        <v>154000</v>
      </c>
      <c r="C24" s="19">
        <v>314000</v>
      </c>
      <c r="D24" s="19">
        <v>214000</v>
      </c>
      <c r="E24" s="19">
        <v>302000</v>
      </c>
      <c r="F24" s="19">
        <v>205000</v>
      </c>
      <c r="G24" s="19">
        <v>311000</v>
      </c>
      <c r="H24" s="19">
        <v>340000</v>
      </c>
      <c r="I24" s="19">
        <v>250000</v>
      </c>
      <c r="J24" s="19">
        <v>48000</v>
      </c>
      <c r="K24" s="19">
        <v>272000</v>
      </c>
      <c r="L24" s="19">
        <v>157000</v>
      </c>
      <c r="M24" s="19">
        <v>208000</v>
      </c>
      <c r="N24" s="19">
        <v>350000</v>
      </c>
      <c r="O24" s="19">
        <v>369000</v>
      </c>
      <c r="P24" s="19">
        <v>320000</v>
      </c>
      <c r="Q24" s="19">
        <v>287000</v>
      </c>
      <c r="R24" s="19">
        <v>251000</v>
      </c>
      <c r="S24" s="19">
        <v>255000</v>
      </c>
      <c r="T24" s="19">
        <v>261000</v>
      </c>
      <c r="U24" s="19">
        <v>281000</v>
      </c>
      <c r="V24" s="19">
        <v>310000</v>
      </c>
      <c r="W24" s="19">
        <v>368000</v>
      </c>
      <c r="X24" s="19">
        <v>358000</v>
      </c>
      <c r="Y24" s="19">
        <v>467000</v>
      </c>
      <c r="Z24" s="19">
        <v>322000</v>
      </c>
    </row>
    <row r="25" spans="1:26" x14ac:dyDescent="0.25">
      <c r="A25" s="1">
        <v>2042</v>
      </c>
      <c r="B25" s="19">
        <v>154000</v>
      </c>
      <c r="C25" s="19">
        <v>294000</v>
      </c>
      <c r="D25" s="19">
        <v>164000</v>
      </c>
      <c r="E25" s="19">
        <v>204000</v>
      </c>
      <c r="F25" s="19">
        <v>177000</v>
      </c>
      <c r="G25" s="19">
        <v>311000</v>
      </c>
      <c r="H25" s="19">
        <v>340000</v>
      </c>
      <c r="I25" s="19">
        <v>185000</v>
      </c>
      <c r="J25" s="19">
        <v>48000</v>
      </c>
      <c r="K25" s="19">
        <v>252000</v>
      </c>
      <c r="L25" s="19">
        <v>118000</v>
      </c>
      <c r="M25" s="19">
        <v>208000</v>
      </c>
      <c r="N25" s="19">
        <v>252000</v>
      </c>
      <c r="O25" s="19">
        <v>319000</v>
      </c>
      <c r="P25" s="19">
        <v>242000</v>
      </c>
      <c r="Q25" s="19">
        <v>287000</v>
      </c>
      <c r="R25" s="19">
        <v>251000</v>
      </c>
      <c r="S25" s="19">
        <v>216000</v>
      </c>
      <c r="T25" s="19">
        <v>211000</v>
      </c>
      <c r="U25" s="19">
        <v>232000</v>
      </c>
      <c r="V25" s="19">
        <v>310000</v>
      </c>
      <c r="W25" s="19">
        <v>368000</v>
      </c>
      <c r="X25" s="19">
        <v>330000</v>
      </c>
      <c r="Y25" s="19">
        <v>467000</v>
      </c>
      <c r="Z25" s="19">
        <v>322000</v>
      </c>
    </row>
    <row r="26" spans="1:26" x14ac:dyDescent="0.25">
      <c r="A26" s="1">
        <v>2043</v>
      </c>
      <c r="B26" s="19">
        <v>154000</v>
      </c>
      <c r="C26" s="19">
        <v>272000</v>
      </c>
      <c r="D26" s="19">
        <v>164000</v>
      </c>
      <c r="E26" s="19">
        <v>154000</v>
      </c>
      <c r="F26" s="19">
        <v>157000</v>
      </c>
      <c r="G26" s="19">
        <v>289000</v>
      </c>
      <c r="H26" s="19">
        <v>262000</v>
      </c>
      <c r="I26" s="19">
        <v>185000</v>
      </c>
      <c r="J26" s="19">
        <v>48000</v>
      </c>
      <c r="K26" s="19">
        <v>252000</v>
      </c>
      <c r="L26" s="19">
        <v>118000</v>
      </c>
      <c r="M26" s="19">
        <v>159000</v>
      </c>
      <c r="N26" s="19">
        <v>252000</v>
      </c>
      <c r="O26" s="19">
        <v>254000</v>
      </c>
      <c r="P26" s="19">
        <v>242000</v>
      </c>
      <c r="Q26" s="19">
        <v>222000</v>
      </c>
      <c r="R26" s="19">
        <v>251000</v>
      </c>
      <c r="S26" s="19">
        <v>216000</v>
      </c>
      <c r="T26" s="19">
        <v>211000</v>
      </c>
      <c r="U26" s="19">
        <v>154000</v>
      </c>
      <c r="V26" s="19">
        <v>310000</v>
      </c>
      <c r="W26" s="19">
        <v>368000</v>
      </c>
      <c r="X26" s="19">
        <v>232000</v>
      </c>
      <c r="Y26" s="19">
        <v>418000</v>
      </c>
      <c r="Z26" s="19">
        <v>322000</v>
      </c>
    </row>
    <row r="27" spans="1:26" x14ac:dyDescent="0.25">
      <c r="A27" s="1">
        <v>2044</v>
      </c>
      <c r="B27" s="19">
        <v>154000</v>
      </c>
      <c r="C27" s="19">
        <v>174000</v>
      </c>
      <c r="D27" s="19">
        <v>164000</v>
      </c>
      <c r="E27" s="19">
        <v>115000</v>
      </c>
      <c r="F27" s="19">
        <v>157000</v>
      </c>
      <c r="G27" s="19">
        <v>191000</v>
      </c>
      <c r="H27" s="19">
        <v>262000</v>
      </c>
      <c r="I27" s="19">
        <v>157000</v>
      </c>
      <c r="J27" s="19">
        <v>48000</v>
      </c>
      <c r="K27" s="19">
        <v>252000</v>
      </c>
      <c r="L27" s="19">
        <v>118000</v>
      </c>
      <c r="M27" s="19">
        <v>159000</v>
      </c>
      <c r="N27" s="19">
        <v>154000</v>
      </c>
      <c r="O27" s="19">
        <v>158000</v>
      </c>
      <c r="P27" s="19">
        <v>242000</v>
      </c>
      <c r="Q27" s="19">
        <v>222000</v>
      </c>
      <c r="R27" s="19">
        <v>251000</v>
      </c>
      <c r="S27" s="19">
        <v>216000</v>
      </c>
      <c r="T27" s="19">
        <v>211000</v>
      </c>
      <c r="U27" s="19">
        <v>154000</v>
      </c>
      <c r="V27" s="19">
        <v>261000</v>
      </c>
      <c r="W27" s="19">
        <v>348000</v>
      </c>
      <c r="X27" s="19">
        <v>167000</v>
      </c>
      <c r="Y27" s="19">
        <v>368000</v>
      </c>
      <c r="Z27" s="19">
        <v>322000</v>
      </c>
    </row>
    <row r="28" spans="1:26" x14ac:dyDescent="0.25">
      <c r="A28" s="1">
        <v>2045</v>
      </c>
      <c r="B28" s="19">
        <v>89000</v>
      </c>
      <c r="C28" s="19">
        <v>174000</v>
      </c>
      <c r="D28" s="19">
        <v>164000</v>
      </c>
      <c r="E28" s="19">
        <v>115000</v>
      </c>
      <c r="F28" s="19">
        <v>157000</v>
      </c>
      <c r="G28" s="19">
        <v>191000</v>
      </c>
      <c r="H28" s="19">
        <v>262000</v>
      </c>
      <c r="I28" s="19">
        <v>157000</v>
      </c>
      <c r="J28" s="19">
        <v>48000</v>
      </c>
      <c r="K28" s="19">
        <v>154000</v>
      </c>
      <c r="L28" s="19">
        <v>118000</v>
      </c>
      <c r="M28" s="19">
        <v>159000</v>
      </c>
      <c r="N28" s="19">
        <v>126000</v>
      </c>
      <c r="O28" s="19">
        <v>116000</v>
      </c>
      <c r="P28" s="19">
        <v>242000</v>
      </c>
      <c r="Q28" s="19">
        <v>202000</v>
      </c>
      <c r="R28" s="19">
        <v>251000</v>
      </c>
      <c r="S28" s="19">
        <v>216000</v>
      </c>
      <c r="T28" s="19">
        <v>183000</v>
      </c>
      <c r="U28" s="19">
        <v>154000</v>
      </c>
      <c r="V28" s="19">
        <v>261000</v>
      </c>
      <c r="W28" s="19">
        <v>250000</v>
      </c>
      <c r="X28" s="19">
        <v>118000</v>
      </c>
      <c r="Y28" s="19">
        <v>368000</v>
      </c>
      <c r="Z28" s="19">
        <v>322000</v>
      </c>
    </row>
    <row r="29" spans="1:26" x14ac:dyDescent="0.25">
      <c r="A29" s="1">
        <v>2046</v>
      </c>
      <c r="B29" s="19">
        <v>89000</v>
      </c>
      <c r="C29" s="19">
        <v>174000</v>
      </c>
      <c r="D29" s="19">
        <v>164000</v>
      </c>
      <c r="E29" s="19">
        <v>115000</v>
      </c>
      <c r="F29" s="19">
        <v>157000</v>
      </c>
      <c r="G29" s="19">
        <v>191000</v>
      </c>
      <c r="H29" s="19">
        <v>262000</v>
      </c>
      <c r="I29" s="19">
        <v>157000</v>
      </c>
      <c r="J29" s="19">
        <v>28000</v>
      </c>
      <c r="K29" s="19">
        <v>154000</v>
      </c>
      <c r="L29" s="19">
        <v>118000</v>
      </c>
      <c r="M29" s="19">
        <v>159000</v>
      </c>
      <c r="N29" s="19">
        <v>126000</v>
      </c>
      <c r="O29" s="19">
        <v>67000</v>
      </c>
      <c r="P29" s="19">
        <v>157000</v>
      </c>
      <c r="Q29" s="19">
        <v>202000</v>
      </c>
      <c r="R29" s="19">
        <v>251000</v>
      </c>
      <c r="S29" s="19">
        <v>216000</v>
      </c>
      <c r="T29" s="19">
        <v>183000</v>
      </c>
      <c r="U29" s="19">
        <v>154000</v>
      </c>
      <c r="V29" s="19">
        <v>261000</v>
      </c>
      <c r="W29" s="19">
        <v>222000</v>
      </c>
      <c r="X29" s="19">
        <v>118000</v>
      </c>
      <c r="Y29" s="19">
        <v>272000</v>
      </c>
      <c r="Z29" s="19">
        <v>283000</v>
      </c>
    </row>
    <row r="30" spans="1:26" x14ac:dyDescent="0.25">
      <c r="A30" s="1">
        <v>2047</v>
      </c>
      <c r="B30" s="19">
        <v>89000</v>
      </c>
      <c r="C30" s="19">
        <v>124000</v>
      </c>
      <c r="D30" s="19">
        <v>164000</v>
      </c>
      <c r="E30" s="19">
        <v>115000</v>
      </c>
      <c r="F30" s="19">
        <v>157000</v>
      </c>
      <c r="G30" s="19">
        <v>191000</v>
      </c>
      <c r="H30" s="19">
        <v>197000</v>
      </c>
      <c r="I30" s="19">
        <v>118000</v>
      </c>
      <c r="J30" s="19">
        <v>28000</v>
      </c>
      <c r="K30" s="19">
        <v>126000</v>
      </c>
      <c r="L30" s="19">
        <v>118000</v>
      </c>
      <c r="M30" s="19">
        <v>61000</v>
      </c>
      <c r="N30" s="19">
        <v>87000</v>
      </c>
      <c r="O30" s="19">
        <v>67000</v>
      </c>
      <c r="P30" s="19">
        <v>61000</v>
      </c>
      <c r="Q30" s="19">
        <v>106000</v>
      </c>
      <c r="R30" s="19">
        <v>251000</v>
      </c>
      <c r="S30" s="19">
        <v>216000</v>
      </c>
      <c r="T30" s="19">
        <v>118000</v>
      </c>
      <c r="U30" s="19">
        <v>154000</v>
      </c>
      <c r="V30" s="19">
        <v>261000</v>
      </c>
      <c r="W30" s="19">
        <v>183000</v>
      </c>
      <c r="X30" s="19">
        <v>118000</v>
      </c>
      <c r="Y30" s="19">
        <v>244000</v>
      </c>
      <c r="Z30" s="19">
        <v>283000</v>
      </c>
    </row>
    <row r="31" spans="1:26" x14ac:dyDescent="0.25">
      <c r="A31" s="1">
        <v>2048</v>
      </c>
      <c r="B31" s="19">
        <v>89000</v>
      </c>
      <c r="C31" s="19">
        <v>124000</v>
      </c>
      <c r="D31" s="19">
        <v>99000</v>
      </c>
      <c r="E31" s="19">
        <v>115000</v>
      </c>
      <c r="F31" s="19">
        <v>157000</v>
      </c>
      <c r="G31" s="19">
        <v>191000</v>
      </c>
      <c r="H31" s="19">
        <v>197000</v>
      </c>
      <c r="I31" s="19">
        <v>118000</v>
      </c>
      <c r="J31" s="19">
        <v>28000</v>
      </c>
      <c r="K31" s="19">
        <v>22000</v>
      </c>
      <c r="L31" s="19">
        <v>22000</v>
      </c>
      <c r="M31" s="19">
        <v>61000</v>
      </c>
      <c r="N31" s="19">
        <v>87000</v>
      </c>
      <c r="O31" s="19">
        <v>67000</v>
      </c>
      <c r="P31" s="19">
        <v>39000</v>
      </c>
      <c r="Q31" s="19">
        <v>78000</v>
      </c>
      <c r="R31" s="19">
        <v>77000</v>
      </c>
      <c r="S31" s="19">
        <v>216000</v>
      </c>
      <c r="T31" s="19">
        <v>118000</v>
      </c>
      <c r="U31" s="19">
        <v>115000</v>
      </c>
      <c r="V31" s="19">
        <v>261000</v>
      </c>
      <c r="W31" s="19">
        <v>87000</v>
      </c>
      <c r="X31" s="19">
        <v>118000</v>
      </c>
      <c r="Y31" s="19">
        <v>205000</v>
      </c>
      <c r="Z31" s="19">
        <v>255000</v>
      </c>
    </row>
    <row r="32" spans="1:26" x14ac:dyDescent="0.25">
      <c r="A32" s="1">
        <v>2049</v>
      </c>
      <c r="B32" s="19">
        <v>61000</v>
      </c>
      <c r="C32" s="19">
        <v>124000</v>
      </c>
      <c r="D32" s="19">
        <v>99000</v>
      </c>
      <c r="E32" s="19">
        <v>87000</v>
      </c>
      <c r="F32" s="19">
        <v>157000</v>
      </c>
      <c r="G32" s="19">
        <v>143000</v>
      </c>
      <c r="H32" s="19">
        <v>99000</v>
      </c>
      <c r="I32" s="19">
        <v>118000</v>
      </c>
      <c r="J32" s="19">
        <v>28000</v>
      </c>
      <c r="K32" s="19">
        <v>22000</v>
      </c>
      <c r="L32" s="19">
        <v>22000</v>
      </c>
      <c r="M32" s="19">
        <v>61000</v>
      </c>
      <c r="N32" s="19">
        <v>87000</v>
      </c>
      <c r="O32" s="19">
        <v>0</v>
      </c>
      <c r="P32" s="19">
        <v>39000</v>
      </c>
      <c r="Q32" s="19">
        <v>0</v>
      </c>
      <c r="R32" s="19">
        <v>77000</v>
      </c>
      <c r="S32" s="19">
        <v>138000</v>
      </c>
      <c r="T32" s="19">
        <v>118000</v>
      </c>
      <c r="U32" s="19">
        <v>93000</v>
      </c>
      <c r="V32" s="19">
        <v>165000</v>
      </c>
      <c r="W32" s="19">
        <v>87000</v>
      </c>
      <c r="X32" s="19">
        <v>118000</v>
      </c>
      <c r="Y32" s="19">
        <v>205000</v>
      </c>
      <c r="Z32" s="19">
        <v>235000</v>
      </c>
    </row>
    <row r="33" spans="1:26" x14ac:dyDescent="0.25">
      <c r="A33" s="1">
        <v>2050</v>
      </c>
      <c r="B33" s="19">
        <v>61000</v>
      </c>
      <c r="C33" s="19">
        <v>124000</v>
      </c>
      <c r="D33" s="19">
        <v>99000</v>
      </c>
      <c r="E33" s="19">
        <v>87000</v>
      </c>
      <c r="F33" s="19">
        <v>157000</v>
      </c>
      <c r="G33" s="19">
        <v>143000</v>
      </c>
      <c r="H33" s="19">
        <v>50000</v>
      </c>
      <c r="I33" s="19">
        <v>22000</v>
      </c>
      <c r="J33" s="19">
        <v>28000</v>
      </c>
      <c r="K33" s="19">
        <v>22000</v>
      </c>
      <c r="L33" s="19">
        <v>22000</v>
      </c>
      <c r="M33" s="19">
        <v>61000</v>
      </c>
      <c r="N33" s="19">
        <v>87000</v>
      </c>
      <c r="O33" s="19">
        <v>0</v>
      </c>
      <c r="P33" s="19">
        <v>39000</v>
      </c>
      <c r="Q33" s="19">
        <v>0</v>
      </c>
      <c r="R33" s="19">
        <v>28000</v>
      </c>
      <c r="S33" s="19">
        <v>42000</v>
      </c>
      <c r="T33" s="19">
        <v>118000</v>
      </c>
      <c r="U33" s="19">
        <v>65000</v>
      </c>
      <c r="V33" s="19">
        <v>87000</v>
      </c>
      <c r="W33" s="19">
        <v>87000</v>
      </c>
      <c r="X33" s="19">
        <v>118000</v>
      </c>
      <c r="Y33" s="19">
        <v>205000</v>
      </c>
      <c r="Z33" s="19">
        <v>235000</v>
      </c>
    </row>
    <row r="34" spans="1:26" x14ac:dyDescent="0.25">
      <c r="A34" s="1">
        <v>2051</v>
      </c>
      <c r="B34" s="19">
        <v>22000</v>
      </c>
      <c r="C34" s="19">
        <v>124000</v>
      </c>
      <c r="D34" s="19">
        <v>50000</v>
      </c>
      <c r="E34" s="19">
        <v>87000</v>
      </c>
      <c r="F34" s="19">
        <v>157000</v>
      </c>
      <c r="G34" s="19">
        <v>65000</v>
      </c>
      <c r="H34" s="19">
        <v>50000</v>
      </c>
      <c r="I34" s="19">
        <v>22000</v>
      </c>
      <c r="J34" s="19">
        <v>28000</v>
      </c>
      <c r="K34" s="19">
        <v>22000</v>
      </c>
      <c r="L34" s="19">
        <v>22000</v>
      </c>
      <c r="M34" s="19">
        <v>61000</v>
      </c>
      <c r="N34" s="19">
        <v>87000</v>
      </c>
      <c r="O34" s="19">
        <v>0</v>
      </c>
      <c r="P34" s="19">
        <v>39000</v>
      </c>
      <c r="Q34" s="19">
        <v>0</v>
      </c>
      <c r="R34" s="19">
        <v>28000</v>
      </c>
      <c r="S34" s="19">
        <v>42000</v>
      </c>
      <c r="T34" s="19">
        <v>118000</v>
      </c>
      <c r="U34" s="19">
        <v>0</v>
      </c>
      <c r="V34" s="19">
        <v>87000</v>
      </c>
      <c r="W34" s="19">
        <v>87000</v>
      </c>
      <c r="X34" s="19">
        <v>118000</v>
      </c>
      <c r="Y34" s="19">
        <v>185000</v>
      </c>
      <c r="Z34" s="19">
        <v>235000</v>
      </c>
    </row>
    <row r="35" spans="1:26" x14ac:dyDescent="0.25">
      <c r="A35" s="1">
        <v>2052</v>
      </c>
      <c r="B35" s="19">
        <v>22000</v>
      </c>
      <c r="C35" s="19">
        <v>124000</v>
      </c>
      <c r="D35" s="19">
        <v>50000</v>
      </c>
      <c r="E35" s="19">
        <v>87000</v>
      </c>
      <c r="F35" s="19">
        <v>157000</v>
      </c>
      <c r="G35" s="19">
        <v>65000</v>
      </c>
      <c r="H35" s="19">
        <v>22000</v>
      </c>
      <c r="I35" s="19">
        <v>22000</v>
      </c>
      <c r="J35" s="19">
        <v>28000</v>
      </c>
      <c r="K35" s="19">
        <v>22000</v>
      </c>
      <c r="L35" s="19">
        <v>22000</v>
      </c>
      <c r="M35" s="19">
        <v>22000</v>
      </c>
      <c r="N35" s="19">
        <v>87000</v>
      </c>
      <c r="O35" s="19">
        <v>0</v>
      </c>
      <c r="P35" s="19">
        <v>39000</v>
      </c>
      <c r="Q35" s="19">
        <v>0</v>
      </c>
      <c r="R35" s="19">
        <v>28000</v>
      </c>
      <c r="S35" s="19">
        <v>42000</v>
      </c>
      <c r="T35" s="19">
        <v>118000</v>
      </c>
      <c r="U35" s="19">
        <v>0</v>
      </c>
      <c r="V35" s="19">
        <v>87000</v>
      </c>
      <c r="W35" s="19">
        <v>22000</v>
      </c>
      <c r="X35" s="19">
        <v>22000</v>
      </c>
      <c r="Y35" s="19">
        <v>87000</v>
      </c>
      <c r="Z35" s="19">
        <v>235000</v>
      </c>
    </row>
    <row r="36" spans="1:26" x14ac:dyDescent="0.25">
      <c r="A36" s="1">
        <v>2053</v>
      </c>
      <c r="B36" s="19">
        <v>22000</v>
      </c>
      <c r="C36" s="19">
        <v>124000</v>
      </c>
      <c r="D36" s="19">
        <v>22000</v>
      </c>
      <c r="E36" s="19">
        <v>87000</v>
      </c>
      <c r="F36" s="19">
        <v>157000</v>
      </c>
      <c r="G36" s="19">
        <v>65000</v>
      </c>
      <c r="H36" s="19">
        <v>22000</v>
      </c>
      <c r="I36" s="19">
        <v>22000</v>
      </c>
      <c r="J36" s="19">
        <v>28000</v>
      </c>
      <c r="K36" s="19">
        <v>0</v>
      </c>
      <c r="L36" s="19">
        <v>22000</v>
      </c>
      <c r="M36" s="19">
        <v>0</v>
      </c>
      <c r="N36" s="19">
        <v>87000</v>
      </c>
      <c r="O36" s="19">
        <v>0</v>
      </c>
      <c r="P36" s="19">
        <v>39000</v>
      </c>
      <c r="Q36" s="19">
        <v>0</v>
      </c>
      <c r="R36" s="19">
        <v>28000</v>
      </c>
      <c r="S36" s="19">
        <v>22000</v>
      </c>
      <c r="T36" s="19">
        <v>96000</v>
      </c>
      <c r="U36" s="19">
        <v>0</v>
      </c>
      <c r="V36" s="19">
        <v>22000</v>
      </c>
      <c r="W36" s="19">
        <v>22000</v>
      </c>
      <c r="X36" s="19">
        <v>22000</v>
      </c>
      <c r="Y36" s="19">
        <v>87000</v>
      </c>
      <c r="Z36" s="19">
        <v>137000</v>
      </c>
    </row>
    <row r="37" spans="1:26" x14ac:dyDescent="0.25">
      <c r="A37" s="1">
        <v>2054</v>
      </c>
      <c r="B37" s="19">
        <v>22000</v>
      </c>
      <c r="C37" s="19">
        <v>28000</v>
      </c>
      <c r="D37" s="19">
        <v>0</v>
      </c>
      <c r="E37" s="19">
        <v>87000</v>
      </c>
      <c r="F37" s="19">
        <v>157000</v>
      </c>
      <c r="G37" s="19">
        <v>65000</v>
      </c>
      <c r="H37" s="19">
        <v>22000</v>
      </c>
      <c r="I37" s="19">
        <v>22000</v>
      </c>
      <c r="J37" s="19">
        <v>28000</v>
      </c>
      <c r="K37" s="19">
        <v>0</v>
      </c>
      <c r="L37" s="19">
        <v>22000</v>
      </c>
      <c r="M37" s="19">
        <v>0</v>
      </c>
      <c r="N37" s="19">
        <v>87000</v>
      </c>
      <c r="O37" s="19">
        <v>0</v>
      </c>
      <c r="P37" s="19">
        <v>0</v>
      </c>
      <c r="Q37" s="19">
        <v>0</v>
      </c>
      <c r="R37" s="19">
        <v>28000</v>
      </c>
      <c r="S37" s="19">
        <v>22000</v>
      </c>
      <c r="T37" s="19">
        <v>96000</v>
      </c>
      <c r="U37" s="19">
        <v>0</v>
      </c>
      <c r="V37" s="19">
        <v>22000</v>
      </c>
      <c r="W37" s="19">
        <v>22000</v>
      </c>
      <c r="X37" s="19">
        <v>22000</v>
      </c>
      <c r="Y37" s="19">
        <v>87000</v>
      </c>
      <c r="Z37" s="19">
        <v>72000</v>
      </c>
    </row>
    <row r="38" spans="1:26" x14ac:dyDescent="0.25">
      <c r="A38" s="1">
        <v>2055</v>
      </c>
      <c r="B38" s="19">
        <v>22000</v>
      </c>
      <c r="C38" s="19">
        <v>28000</v>
      </c>
      <c r="D38" s="19">
        <v>0</v>
      </c>
      <c r="E38" s="19">
        <v>87000</v>
      </c>
      <c r="F38" s="19">
        <v>157000</v>
      </c>
      <c r="G38" s="19">
        <v>0</v>
      </c>
      <c r="H38" s="19">
        <v>0</v>
      </c>
      <c r="I38" s="19">
        <v>0</v>
      </c>
      <c r="J38" s="19">
        <v>0</v>
      </c>
      <c r="K38" s="19">
        <v>0</v>
      </c>
      <c r="L38" s="19">
        <v>22000</v>
      </c>
      <c r="M38" s="19">
        <v>0</v>
      </c>
      <c r="N38" s="19">
        <v>87000</v>
      </c>
      <c r="O38" s="19">
        <v>0</v>
      </c>
      <c r="P38" s="19">
        <v>0</v>
      </c>
      <c r="Q38" s="19">
        <v>0</v>
      </c>
      <c r="R38" s="19">
        <v>0</v>
      </c>
      <c r="S38" s="19">
        <v>22000</v>
      </c>
      <c r="T38" s="19">
        <v>0</v>
      </c>
      <c r="U38" s="19">
        <v>0</v>
      </c>
      <c r="V38" s="19">
        <v>22000</v>
      </c>
      <c r="W38" s="19">
        <v>22000</v>
      </c>
      <c r="X38" s="19">
        <v>0</v>
      </c>
      <c r="Y38" s="19">
        <v>87000</v>
      </c>
      <c r="Z38" s="19">
        <v>72000</v>
      </c>
    </row>
    <row r="39" spans="1:26" x14ac:dyDescent="0.25">
      <c r="A39" s="1">
        <v>2056</v>
      </c>
      <c r="B39" s="19">
        <v>22000</v>
      </c>
      <c r="C39" s="19">
        <v>28000</v>
      </c>
      <c r="D39" s="19">
        <v>0</v>
      </c>
      <c r="E39" s="19">
        <v>87000</v>
      </c>
      <c r="F39" s="19">
        <v>157000</v>
      </c>
      <c r="G39" s="19">
        <v>0</v>
      </c>
      <c r="H39" s="19">
        <v>0</v>
      </c>
      <c r="I39" s="19">
        <v>0</v>
      </c>
      <c r="J39" s="19">
        <v>0</v>
      </c>
      <c r="K39" s="19">
        <v>0</v>
      </c>
      <c r="L39" s="19">
        <v>22000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9">
        <v>0</v>
      </c>
      <c r="S39" s="19">
        <v>22000</v>
      </c>
      <c r="T39" s="19">
        <v>0</v>
      </c>
      <c r="U39" s="19">
        <v>0</v>
      </c>
      <c r="V39" s="19">
        <v>0</v>
      </c>
      <c r="W39" s="19">
        <v>22000</v>
      </c>
      <c r="X39" s="19">
        <v>0</v>
      </c>
      <c r="Y39" s="19">
        <v>87000</v>
      </c>
      <c r="Z39" s="19">
        <v>50000</v>
      </c>
    </row>
    <row r="40" spans="1:26" x14ac:dyDescent="0.25">
      <c r="A40" s="1">
        <v>2057</v>
      </c>
      <c r="B40" s="19">
        <v>22000</v>
      </c>
      <c r="C40" s="19">
        <v>0</v>
      </c>
      <c r="D40" s="19">
        <v>0</v>
      </c>
      <c r="E40" s="19">
        <v>87000</v>
      </c>
      <c r="F40" s="19">
        <v>61000</v>
      </c>
      <c r="G40" s="19">
        <v>0</v>
      </c>
      <c r="H40" s="19">
        <v>0</v>
      </c>
      <c r="I40" s="19">
        <v>0</v>
      </c>
      <c r="J40" s="19">
        <v>0</v>
      </c>
      <c r="K40" s="19">
        <v>0</v>
      </c>
      <c r="L40" s="19">
        <v>22000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9">
        <v>0</v>
      </c>
      <c r="S40" s="19">
        <v>22000</v>
      </c>
      <c r="T40" s="19">
        <v>0</v>
      </c>
      <c r="U40" s="19">
        <v>0</v>
      </c>
      <c r="V40" s="19">
        <v>0</v>
      </c>
      <c r="W40" s="19">
        <v>0</v>
      </c>
      <c r="X40" s="19">
        <v>0</v>
      </c>
      <c r="Y40" s="19">
        <v>22000</v>
      </c>
      <c r="Z40" s="19">
        <v>50000</v>
      </c>
    </row>
    <row r="41" spans="1:26" x14ac:dyDescent="0.25">
      <c r="A41" s="1">
        <v>2058</v>
      </c>
      <c r="B41" s="19">
        <v>22000</v>
      </c>
      <c r="C41" s="19">
        <v>0</v>
      </c>
      <c r="D41" s="19">
        <v>0</v>
      </c>
      <c r="E41" s="19">
        <v>87000</v>
      </c>
      <c r="F41" s="19">
        <v>61000</v>
      </c>
      <c r="G41" s="19">
        <v>0</v>
      </c>
      <c r="H41" s="19">
        <v>0</v>
      </c>
      <c r="I41" s="19">
        <v>0</v>
      </c>
      <c r="J41" s="19">
        <v>0</v>
      </c>
      <c r="K41" s="19">
        <v>0</v>
      </c>
      <c r="L41" s="19">
        <v>22000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9">
        <v>0</v>
      </c>
      <c r="S41" s="19">
        <v>22000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22000</v>
      </c>
      <c r="Z41" s="19">
        <v>0</v>
      </c>
    </row>
    <row r="42" spans="1:26" x14ac:dyDescent="0.25">
      <c r="A42" s="1">
        <v>2059</v>
      </c>
      <c r="B42" s="19">
        <v>22000</v>
      </c>
      <c r="C42" s="19">
        <v>0</v>
      </c>
      <c r="D42" s="19">
        <v>0</v>
      </c>
      <c r="E42" s="19">
        <v>22000</v>
      </c>
      <c r="F42" s="19">
        <v>61000</v>
      </c>
      <c r="G42" s="19">
        <v>0</v>
      </c>
      <c r="H42" s="19">
        <v>0</v>
      </c>
      <c r="I42" s="19">
        <v>0</v>
      </c>
      <c r="J42" s="19">
        <v>0</v>
      </c>
      <c r="K42" s="19">
        <v>0</v>
      </c>
      <c r="L42" s="19">
        <v>22000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</row>
    <row r="43" spans="1:26" x14ac:dyDescent="0.25">
      <c r="A43" s="1">
        <v>2060</v>
      </c>
      <c r="B43" s="19">
        <v>22000</v>
      </c>
      <c r="C43" s="19">
        <v>0</v>
      </c>
      <c r="D43" s="19">
        <v>0</v>
      </c>
      <c r="E43" s="19">
        <v>0</v>
      </c>
      <c r="F43" s="19">
        <v>61000</v>
      </c>
      <c r="G43" s="19">
        <v>0</v>
      </c>
      <c r="H43" s="19">
        <v>0</v>
      </c>
      <c r="I43" s="19">
        <v>0</v>
      </c>
      <c r="J43" s="19">
        <v>0</v>
      </c>
      <c r="K43" s="19">
        <v>0</v>
      </c>
      <c r="L43" s="19">
        <v>22000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</row>
    <row r="44" spans="1:26" x14ac:dyDescent="0.25">
      <c r="A44" s="1">
        <v>2061</v>
      </c>
      <c r="B44" s="19">
        <v>22000</v>
      </c>
      <c r="C44" s="19">
        <v>0</v>
      </c>
      <c r="D44" s="19">
        <v>0</v>
      </c>
      <c r="E44" s="19">
        <v>0</v>
      </c>
      <c r="F44" s="19">
        <v>22000</v>
      </c>
      <c r="G44" s="19">
        <v>0</v>
      </c>
      <c r="H44" s="19">
        <v>0</v>
      </c>
      <c r="I44" s="19">
        <v>0</v>
      </c>
      <c r="J44" s="19"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</row>
    <row r="45" spans="1:26" x14ac:dyDescent="0.25">
      <c r="A45" s="1">
        <v>2062</v>
      </c>
      <c r="B45" s="19">
        <v>22000</v>
      </c>
      <c r="C45" s="19">
        <v>0</v>
      </c>
      <c r="D45" s="19">
        <v>0</v>
      </c>
      <c r="E45" s="19">
        <v>0</v>
      </c>
      <c r="F45" s="19">
        <v>22000</v>
      </c>
      <c r="G45" s="19">
        <v>0</v>
      </c>
      <c r="H45" s="19">
        <v>0</v>
      </c>
      <c r="I45" s="19">
        <v>0</v>
      </c>
      <c r="J45" s="19">
        <v>0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19">
        <v>0</v>
      </c>
      <c r="Q45" s="19">
        <v>0</v>
      </c>
      <c r="R45" s="19">
        <v>0</v>
      </c>
      <c r="S45" s="19">
        <v>0</v>
      </c>
      <c r="T45" s="19">
        <v>0</v>
      </c>
      <c r="U45" s="19">
        <v>0</v>
      </c>
      <c r="V45" s="19">
        <v>0</v>
      </c>
      <c r="W45" s="19">
        <v>0</v>
      </c>
      <c r="X45" s="19">
        <v>0</v>
      </c>
      <c r="Y45" s="19">
        <v>0</v>
      </c>
      <c r="Z45" s="19">
        <v>0</v>
      </c>
    </row>
    <row r="46" spans="1:26" x14ac:dyDescent="0.25">
      <c r="A46" s="1">
        <v>2063</v>
      </c>
      <c r="B46" s="19">
        <v>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9">
        <v>0</v>
      </c>
      <c r="I46" s="19">
        <v>0</v>
      </c>
      <c r="J46" s="19"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</row>
    <row r="47" spans="1:26" x14ac:dyDescent="0.25">
      <c r="A47" s="1">
        <v>2064</v>
      </c>
      <c r="B47" s="19">
        <v>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9"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</row>
    <row r="48" spans="1:26" x14ac:dyDescent="0.25">
      <c r="A48" s="1">
        <v>2065</v>
      </c>
      <c r="B48" s="19">
        <v>0</v>
      </c>
      <c r="C48" s="19">
        <v>0</v>
      </c>
      <c r="D48" s="19">
        <v>0</v>
      </c>
      <c r="E48" s="19">
        <v>0</v>
      </c>
      <c r="F48" s="19">
        <v>0</v>
      </c>
      <c r="G48" s="19">
        <v>0</v>
      </c>
      <c r="H48" s="19">
        <v>0</v>
      </c>
      <c r="I48" s="19">
        <v>0</v>
      </c>
      <c r="J48" s="19"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</row>
    <row r="49" spans="1:26" x14ac:dyDescent="0.25">
      <c r="A49" s="1">
        <v>2066</v>
      </c>
      <c r="B49" s="19">
        <v>0</v>
      </c>
      <c r="C49" s="19">
        <v>0</v>
      </c>
      <c r="D49" s="19">
        <v>0</v>
      </c>
      <c r="E49" s="19">
        <v>0</v>
      </c>
      <c r="F49" s="19">
        <v>0</v>
      </c>
      <c r="G49" s="19">
        <v>0</v>
      </c>
      <c r="H49" s="19">
        <v>0</v>
      </c>
      <c r="I49" s="19">
        <v>0</v>
      </c>
      <c r="J49" s="19"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9">
        <v>0</v>
      </c>
      <c r="S49" s="19">
        <v>0</v>
      </c>
      <c r="T49" s="19">
        <v>0</v>
      </c>
      <c r="U49" s="19">
        <v>0</v>
      </c>
      <c r="V49" s="19">
        <v>0</v>
      </c>
      <c r="W49" s="19">
        <v>0</v>
      </c>
      <c r="X49" s="19">
        <v>0</v>
      </c>
      <c r="Y49" s="19">
        <v>0</v>
      </c>
      <c r="Z49" s="19">
        <v>0</v>
      </c>
    </row>
    <row r="50" spans="1:26" x14ac:dyDescent="0.25">
      <c r="A50" s="1">
        <v>2067</v>
      </c>
      <c r="B50" s="19">
        <v>0</v>
      </c>
      <c r="C50" s="19">
        <v>0</v>
      </c>
      <c r="D50" s="19">
        <v>0</v>
      </c>
      <c r="E50" s="19">
        <v>0</v>
      </c>
      <c r="F50" s="19">
        <v>0</v>
      </c>
      <c r="G50" s="19">
        <v>0</v>
      </c>
      <c r="H50" s="19">
        <v>0</v>
      </c>
      <c r="I50" s="19">
        <v>0</v>
      </c>
      <c r="J50" s="19"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19">
        <v>0</v>
      </c>
      <c r="Q50" s="19">
        <v>0</v>
      </c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0</v>
      </c>
      <c r="Y50" s="19">
        <v>0</v>
      </c>
      <c r="Z50" s="19">
        <v>0</v>
      </c>
    </row>
    <row r="51" spans="1:26" x14ac:dyDescent="0.25">
      <c r="A51" s="1">
        <v>2068</v>
      </c>
      <c r="B51" s="19">
        <v>0</v>
      </c>
      <c r="C51" s="19">
        <v>0</v>
      </c>
      <c r="D51" s="19">
        <v>0</v>
      </c>
      <c r="E51" s="19">
        <v>0</v>
      </c>
      <c r="F51" s="19">
        <v>0</v>
      </c>
      <c r="G51" s="19">
        <v>0</v>
      </c>
      <c r="H51" s="19">
        <v>0</v>
      </c>
      <c r="I51" s="19">
        <v>0</v>
      </c>
      <c r="J51" s="19"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</row>
    <row r="52" spans="1:26" x14ac:dyDescent="0.25">
      <c r="A52" s="1">
        <v>2069</v>
      </c>
      <c r="B52" s="19">
        <v>0</v>
      </c>
      <c r="C52" s="19">
        <v>0</v>
      </c>
      <c r="D52" s="19">
        <v>0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9"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9">
        <v>0</v>
      </c>
      <c r="S52" s="19">
        <v>0</v>
      </c>
      <c r="T52" s="19">
        <v>0</v>
      </c>
      <c r="U52" s="19">
        <v>0</v>
      </c>
      <c r="V52" s="19">
        <v>0</v>
      </c>
      <c r="W52" s="19">
        <v>0</v>
      </c>
      <c r="X52" s="19">
        <v>0</v>
      </c>
      <c r="Y52" s="19">
        <v>0</v>
      </c>
      <c r="Z52" s="19">
        <v>0</v>
      </c>
    </row>
    <row r="53" spans="1:26" x14ac:dyDescent="0.25">
      <c r="A53" s="1">
        <v>2070</v>
      </c>
      <c r="B53" s="19">
        <v>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9">
        <v>0</v>
      </c>
      <c r="I53" s="19">
        <v>0</v>
      </c>
      <c r="J53" s="19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</row>
    <row r="54" spans="1:26" x14ac:dyDescent="0.25">
      <c r="A54" s="1">
        <v>2071</v>
      </c>
      <c r="B54" s="19">
        <v>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9">
        <v>0</v>
      </c>
      <c r="I54" s="19">
        <v>0</v>
      </c>
      <c r="J54" s="19"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</row>
    <row r="55" spans="1:26" x14ac:dyDescent="0.25">
      <c r="A55" s="1">
        <v>2072</v>
      </c>
      <c r="B55" s="19">
        <v>0</v>
      </c>
      <c r="C55" s="19">
        <v>0</v>
      </c>
      <c r="D55" s="19">
        <v>0</v>
      </c>
      <c r="E55" s="19">
        <v>0</v>
      </c>
      <c r="F55" s="19">
        <v>0</v>
      </c>
      <c r="G55" s="19">
        <v>0</v>
      </c>
      <c r="H55" s="19">
        <v>0</v>
      </c>
      <c r="I55" s="19">
        <v>0</v>
      </c>
      <c r="J55" s="19"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19">
        <v>0</v>
      </c>
      <c r="Q55" s="19">
        <v>0</v>
      </c>
      <c r="R55" s="19">
        <v>0</v>
      </c>
      <c r="S55" s="19">
        <v>0</v>
      </c>
      <c r="T55" s="19">
        <v>0</v>
      </c>
      <c r="U55" s="19">
        <v>0</v>
      </c>
      <c r="V55" s="19">
        <v>0</v>
      </c>
      <c r="W55" s="19">
        <v>0</v>
      </c>
      <c r="X55" s="19">
        <v>0</v>
      </c>
      <c r="Y55" s="19">
        <v>0</v>
      </c>
      <c r="Z55" s="19">
        <v>0</v>
      </c>
    </row>
    <row r="56" spans="1:26" x14ac:dyDescent="0.25">
      <c r="A56" s="1">
        <v>2073</v>
      </c>
      <c r="B56" s="19">
        <v>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9"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</row>
    <row r="57" spans="1:26" x14ac:dyDescent="0.25">
      <c r="A57" s="1">
        <v>2074</v>
      </c>
      <c r="B57" s="19">
        <v>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9">
        <v>0</v>
      </c>
      <c r="I57" s="19">
        <v>0</v>
      </c>
      <c r="J57" s="19"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9">
        <v>0</v>
      </c>
      <c r="S57" s="19">
        <v>0</v>
      </c>
      <c r="T57" s="19">
        <v>0</v>
      </c>
      <c r="U57" s="19">
        <v>0</v>
      </c>
      <c r="V57" s="19">
        <v>0</v>
      </c>
      <c r="W57" s="19">
        <v>0</v>
      </c>
      <c r="X57" s="19">
        <v>0</v>
      </c>
      <c r="Y57" s="19">
        <v>0</v>
      </c>
      <c r="Z57" s="19">
        <v>0</v>
      </c>
    </row>
    <row r="58" spans="1:26" x14ac:dyDescent="0.25">
      <c r="A58" s="1">
        <v>2075</v>
      </c>
      <c r="B58" s="19">
        <v>0</v>
      </c>
      <c r="C58" s="19">
        <v>0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9"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9">
        <v>0</v>
      </c>
      <c r="S58" s="19">
        <v>0</v>
      </c>
      <c r="T58" s="19">
        <v>0</v>
      </c>
      <c r="U58" s="19">
        <v>0</v>
      </c>
      <c r="V58" s="19">
        <v>0</v>
      </c>
      <c r="W58" s="19">
        <v>0</v>
      </c>
      <c r="X58" s="19">
        <v>0</v>
      </c>
      <c r="Y58" s="19">
        <v>0</v>
      </c>
      <c r="Z58" s="19">
        <v>0</v>
      </c>
    </row>
    <row r="59" spans="1:26" x14ac:dyDescent="0.25">
      <c r="A59" s="1">
        <v>2076</v>
      </c>
      <c r="B59" s="19">
        <v>0</v>
      </c>
      <c r="C59" s="19">
        <v>0</v>
      </c>
      <c r="D59" s="19">
        <v>0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9"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</row>
    <row r="60" spans="1:26" x14ac:dyDescent="0.25">
      <c r="A60" s="1">
        <v>2077</v>
      </c>
      <c r="B60" s="19">
        <v>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9">
        <v>0</v>
      </c>
      <c r="I60" s="19">
        <v>0</v>
      </c>
      <c r="J60" s="19"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19">
        <v>0</v>
      </c>
      <c r="Q60" s="19">
        <v>0</v>
      </c>
      <c r="R60" s="19">
        <v>0</v>
      </c>
      <c r="S60" s="19">
        <v>0</v>
      </c>
      <c r="T60" s="19">
        <v>0</v>
      </c>
      <c r="U60" s="19">
        <v>0</v>
      </c>
      <c r="V60" s="19">
        <v>0</v>
      </c>
      <c r="W60" s="19">
        <v>0</v>
      </c>
      <c r="X60" s="19">
        <v>0</v>
      </c>
      <c r="Y60" s="19">
        <v>0</v>
      </c>
      <c r="Z60" s="19">
        <v>0</v>
      </c>
    </row>
    <row r="61" spans="1:26" x14ac:dyDescent="0.25">
      <c r="A61" s="1">
        <v>2078</v>
      </c>
      <c r="B61" s="19">
        <v>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9">
        <v>0</v>
      </c>
      <c r="I61" s="19">
        <v>0</v>
      </c>
      <c r="J61" s="19"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9">
        <v>0</v>
      </c>
      <c r="S61" s="19">
        <v>0</v>
      </c>
      <c r="T61" s="19">
        <v>0</v>
      </c>
      <c r="U61" s="19">
        <v>0</v>
      </c>
      <c r="V61" s="19">
        <v>0</v>
      </c>
      <c r="W61" s="19">
        <v>0</v>
      </c>
      <c r="X61" s="19">
        <v>0</v>
      </c>
      <c r="Y61" s="19">
        <v>0</v>
      </c>
      <c r="Z61" s="19">
        <v>0</v>
      </c>
    </row>
    <row r="62" spans="1:26" x14ac:dyDescent="0.25">
      <c r="A62" s="1">
        <v>2079</v>
      </c>
      <c r="B62" s="19">
        <v>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9">
        <v>0</v>
      </c>
      <c r="I62" s="19">
        <v>0</v>
      </c>
      <c r="J62" s="19"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</row>
    <row r="63" spans="1:26" x14ac:dyDescent="0.25">
      <c r="A63" s="1">
        <v>2080</v>
      </c>
      <c r="B63" s="19">
        <v>0</v>
      </c>
      <c r="C63" s="19">
        <v>0</v>
      </c>
      <c r="D63" s="19">
        <v>0</v>
      </c>
      <c r="E63" s="19">
        <v>0</v>
      </c>
      <c r="F63" s="19">
        <v>0</v>
      </c>
      <c r="G63" s="19">
        <v>0</v>
      </c>
      <c r="H63" s="19">
        <v>0</v>
      </c>
      <c r="I63" s="19">
        <v>0</v>
      </c>
      <c r="J63" s="19">
        <v>0</v>
      </c>
      <c r="K63" s="19">
        <v>0</v>
      </c>
      <c r="L63" s="19">
        <v>0</v>
      </c>
      <c r="M63" s="19">
        <v>0</v>
      </c>
      <c r="N63" s="19">
        <v>0</v>
      </c>
      <c r="O63" s="19">
        <v>0</v>
      </c>
      <c r="P63" s="19">
        <v>0</v>
      </c>
      <c r="Q63" s="19">
        <v>0</v>
      </c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</row>
    <row r="64" spans="1:26" x14ac:dyDescent="0.25">
      <c r="A64" s="1">
        <v>2081</v>
      </c>
      <c r="B64" s="19">
        <v>0</v>
      </c>
      <c r="C64" s="19">
        <v>0</v>
      </c>
      <c r="D64" s="19">
        <v>0</v>
      </c>
      <c r="E64" s="19">
        <v>0</v>
      </c>
      <c r="F64" s="19">
        <v>0</v>
      </c>
      <c r="G64" s="19">
        <v>0</v>
      </c>
      <c r="H64" s="19">
        <v>0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</row>
    <row r="65" spans="1:26" x14ac:dyDescent="0.25">
      <c r="A65" s="1">
        <v>2082</v>
      </c>
      <c r="B65" s="19">
        <v>0</v>
      </c>
      <c r="C65" s="19">
        <v>0</v>
      </c>
      <c r="D65" s="19">
        <v>0</v>
      </c>
      <c r="E65" s="19">
        <v>0</v>
      </c>
      <c r="F65" s="19">
        <v>0</v>
      </c>
      <c r="G65" s="19">
        <v>0</v>
      </c>
      <c r="H65" s="19">
        <v>0</v>
      </c>
      <c r="I65" s="19">
        <v>0</v>
      </c>
      <c r="J65" s="19">
        <v>0</v>
      </c>
      <c r="K65" s="19">
        <v>0</v>
      </c>
      <c r="L65" s="19">
        <v>0</v>
      </c>
      <c r="M65" s="19">
        <v>0</v>
      </c>
      <c r="N65" s="19">
        <v>0</v>
      </c>
      <c r="O65" s="19">
        <v>0</v>
      </c>
      <c r="P65" s="19">
        <v>0</v>
      </c>
      <c r="Q65" s="19">
        <v>0</v>
      </c>
      <c r="R65" s="19">
        <v>0</v>
      </c>
      <c r="S65" s="19">
        <v>0</v>
      </c>
      <c r="T65" s="19">
        <v>0</v>
      </c>
      <c r="U65" s="19">
        <v>0</v>
      </c>
      <c r="V65" s="19">
        <v>0</v>
      </c>
      <c r="W65" s="19">
        <v>0</v>
      </c>
      <c r="X65" s="19">
        <v>0</v>
      </c>
      <c r="Y65" s="19">
        <v>0</v>
      </c>
      <c r="Z65" s="19">
        <v>0</v>
      </c>
    </row>
    <row r="66" spans="1:26" x14ac:dyDescent="0.25">
      <c r="A66" s="1">
        <v>2083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</row>
    <row r="67" spans="1:26" x14ac:dyDescent="0.25">
      <c r="A67" s="1">
        <v>2084</v>
      </c>
      <c r="B67" s="19">
        <v>0</v>
      </c>
      <c r="C67" s="19">
        <v>0</v>
      </c>
      <c r="D67" s="19">
        <v>0</v>
      </c>
      <c r="E67" s="19">
        <v>0</v>
      </c>
      <c r="F67" s="19">
        <v>0</v>
      </c>
      <c r="G67" s="19">
        <v>0</v>
      </c>
      <c r="H67" s="19">
        <v>0</v>
      </c>
      <c r="I67" s="19">
        <v>0</v>
      </c>
      <c r="J67" s="19">
        <v>0</v>
      </c>
      <c r="K67" s="19">
        <v>0</v>
      </c>
      <c r="L67" s="19">
        <v>0</v>
      </c>
      <c r="M67" s="19">
        <v>0</v>
      </c>
      <c r="N67" s="19">
        <v>0</v>
      </c>
      <c r="O67" s="19">
        <v>0</v>
      </c>
      <c r="P67" s="19">
        <v>0</v>
      </c>
      <c r="Q67" s="19">
        <v>0</v>
      </c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</row>
    <row r="68" spans="1:26" x14ac:dyDescent="0.25">
      <c r="A68" s="1">
        <v>2085</v>
      </c>
      <c r="B68" s="19">
        <v>0</v>
      </c>
      <c r="C68" s="19">
        <v>0</v>
      </c>
      <c r="D68" s="19">
        <v>0</v>
      </c>
      <c r="E68" s="19">
        <v>0</v>
      </c>
      <c r="F68" s="19">
        <v>0</v>
      </c>
      <c r="G68" s="19">
        <v>0</v>
      </c>
      <c r="H68" s="19">
        <v>0</v>
      </c>
      <c r="I68" s="19">
        <v>0</v>
      </c>
      <c r="J68" s="19">
        <v>0</v>
      </c>
      <c r="K68" s="19">
        <v>0</v>
      </c>
      <c r="L68" s="19">
        <v>0</v>
      </c>
      <c r="M68" s="19">
        <v>0</v>
      </c>
      <c r="N68" s="19">
        <v>0</v>
      </c>
      <c r="O68" s="19">
        <v>0</v>
      </c>
      <c r="P68" s="19">
        <v>0</v>
      </c>
      <c r="Q68" s="19">
        <v>0</v>
      </c>
      <c r="R68" s="19">
        <v>0</v>
      </c>
      <c r="S68" s="19">
        <v>0</v>
      </c>
      <c r="T68" s="19">
        <v>0</v>
      </c>
      <c r="U68" s="19">
        <v>0</v>
      </c>
      <c r="V68" s="19">
        <v>0</v>
      </c>
      <c r="W68" s="19">
        <v>0</v>
      </c>
      <c r="X68" s="19">
        <v>0</v>
      </c>
      <c r="Y68" s="19">
        <v>0</v>
      </c>
      <c r="Z68" s="19">
        <v>0</v>
      </c>
    </row>
    <row r="69" spans="1:26" x14ac:dyDescent="0.25">
      <c r="A69" s="1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</sheetData>
  <mergeCells count="1">
    <mergeCell ref="B6:Z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4478C-709A-FA4F-A7AF-704FF93342EF}">
  <sheetPr codeName="Sheet9"/>
  <dimension ref="K2:P13"/>
  <sheetViews>
    <sheetView topLeftCell="B1" zoomScale="120" zoomScaleNormal="120" workbookViewId="0">
      <selection activeCell="K20" sqref="K20"/>
    </sheetView>
  </sheetViews>
  <sheetFormatPr defaultColWidth="10.875" defaultRowHeight="13.5" x14ac:dyDescent="0.25"/>
  <cols>
    <col min="1" max="9" width="10.875" style="11"/>
    <col min="10" max="10" width="12.5" style="11" customWidth="1"/>
    <col min="11" max="16384" width="10.875" style="11"/>
  </cols>
  <sheetData>
    <row r="2" spans="11:16" x14ac:dyDescent="0.25">
      <c r="K2" s="11" t="s">
        <v>80</v>
      </c>
      <c r="M2" s="29">
        <v>25</v>
      </c>
    </row>
    <row r="3" spans="11:16" x14ac:dyDescent="0.25">
      <c r="K3" s="11" t="s">
        <v>81</v>
      </c>
      <c r="M3" s="29">
        <v>10</v>
      </c>
    </row>
    <row r="4" spans="11:16" x14ac:dyDescent="0.25">
      <c r="K4" s="11" t="s">
        <v>82</v>
      </c>
      <c r="M4" s="32">
        <v>0.04</v>
      </c>
    </row>
    <row r="6" spans="11:16" x14ac:dyDescent="0.25">
      <c r="K6" s="16"/>
      <c r="L6" s="12"/>
    </row>
    <row r="7" spans="11:16" x14ac:dyDescent="0.25">
      <c r="K7" s="16"/>
      <c r="L7" s="12"/>
    </row>
    <row r="8" spans="11:16" x14ac:dyDescent="0.25">
      <c r="K8" s="16"/>
      <c r="L8" s="12"/>
    </row>
    <row r="9" spans="11:16" x14ac:dyDescent="0.25">
      <c r="K9" s="17"/>
      <c r="L9" s="18"/>
    </row>
    <row r="11" spans="11:16" x14ac:dyDescent="0.25">
      <c r="K11" s="35" t="s">
        <v>79</v>
      </c>
      <c r="L11" s="36"/>
      <c r="M11" s="36"/>
      <c r="N11" s="36"/>
      <c r="O11" s="36"/>
      <c r="P11" s="37"/>
    </row>
    <row r="12" spans="11:16" x14ac:dyDescent="0.25">
      <c r="K12" s="13" t="s">
        <v>73</v>
      </c>
      <c r="L12" s="29" t="s">
        <v>75</v>
      </c>
      <c r="M12" s="29" t="s">
        <v>74</v>
      </c>
      <c r="N12" s="29" t="s">
        <v>76</v>
      </c>
      <c r="O12" s="29" t="s">
        <v>77</v>
      </c>
      <c r="P12" s="30" t="s">
        <v>108</v>
      </c>
    </row>
    <row r="13" spans="11:16" x14ac:dyDescent="0.25">
      <c r="K13" s="14">
        <v>6237839.4037884818</v>
      </c>
      <c r="L13" s="15">
        <v>6393318.6808940759</v>
      </c>
      <c r="M13" s="15">
        <v>613461.32060663076</v>
      </c>
      <c r="N13" s="15">
        <v>4881770.4184879111</v>
      </c>
      <c r="O13" s="15">
        <v>7311089.0164207686</v>
      </c>
      <c r="P13" s="31">
        <v>2.2546296531800181E-4</v>
      </c>
    </row>
  </sheetData>
  <mergeCells count="1">
    <mergeCell ref="K11:P11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Inforce</vt:lpstr>
      <vt:lpstr>Parameters</vt:lpstr>
      <vt:lpstr>Reporting</vt:lpstr>
      <vt:lpstr>Policy Results</vt:lpstr>
      <vt:lpstr>Scenario Results</vt:lpstr>
      <vt:lpstr>Total Results</vt:lpstr>
      <vt:lpstr>Dashboard Results</vt:lpstr>
      <vt:lpstr>Discount_Rate</vt:lpstr>
      <vt:lpstr>Number_of_Contracts</vt:lpstr>
      <vt:lpstr>Number_of_Scenarios</vt:lpstr>
      <vt:lpstr>Policy_Number</vt:lpstr>
      <vt:lpstr>Scenario_Number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Leach</dc:creator>
  <cp:lastModifiedBy>Igor Nikitin</cp:lastModifiedBy>
  <dcterms:created xsi:type="dcterms:W3CDTF">2024-04-29T00:53:57Z</dcterms:created>
  <dcterms:modified xsi:type="dcterms:W3CDTF">2026-04-27T02:25:59Z</dcterms:modified>
</cp:coreProperties>
</file>