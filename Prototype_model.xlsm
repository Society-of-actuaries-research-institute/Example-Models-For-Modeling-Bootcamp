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niki\MBC_Production_Model_Example\"/>
    </mc:Choice>
  </mc:AlternateContent>
  <xr:revisionPtr revIDLastSave="0" documentId="13_ncr:1_{630AD390-D3F7-449D-AF13-02E62ABA67D9}" xr6:coauthVersionLast="47" xr6:coauthVersionMax="47" xr10:uidLastSave="{00000000-0000-0000-0000-000000000000}"/>
  <bookViews>
    <workbookView xWindow="-110" yWindow="-110" windowWidth="38620" windowHeight="21100" activeTab="1" xr2:uid="{9421D230-C2F9-CE48-9929-8235616746DE}"/>
  </bookViews>
  <sheets>
    <sheet name="Read Me First" sheetId="10" r:id="rId1"/>
    <sheet name="Dashboard" sheetId="9" r:id="rId2"/>
    <sheet name="Assumptions" sheetId="2" r:id="rId3"/>
    <sheet name="Data" sheetId="3" r:id="rId4"/>
    <sheet name="Random Numbers" sheetId="7" r:id="rId5"/>
    <sheet name="Calculations" sheetId="4" r:id="rId6"/>
    <sheet name="Scenario Results" sheetId="5" r:id="rId7"/>
    <sheet name="Total Results" sheetId="8" r:id="rId8"/>
  </sheets>
  <definedNames>
    <definedName name="_xleta.IF" hidden="1" xlm="1">#NAME?</definedName>
    <definedName name="_xleta.RATE" hidden="1" xlm="1">#NAME?</definedName>
    <definedName name="Discount_Rate">Dashboard!$M$4</definedName>
    <definedName name="Number_of_Contracts">Dashboard!$M$3</definedName>
    <definedName name="Number_of_Scenarios">Dashboard!$M$2</definedName>
    <definedName name="Policy_Number">Calculations!$B$1</definedName>
    <definedName name="Scenario_Number">Calculations!$E$1</definedName>
    <definedName name="Valuation_Date">Assumptions!$B$3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9" l="1"/>
  <c r="P27" i="9"/>
  <c r="L25" i="9"/>
  <c r="M25" i="9"/>
  <c r="N25" i="9"/>
  <c r="O25" i="9"/>
  <c r="P25" i="9"/>
  <c r="L26" i="9"/>
  <c r="M26" i="9"/>
  <c r="N26" i="9"/>
  <c r="O26" i="9"/>
  <c r="L27" i="9"/>
  <c r="M27" i="9"/>
  <c r="N27" i="9"/>
  <c r="O27" i="9"/>
  <c r="K26" i="9"/>
  <c r="K27" i="9"/>
  <c r="K25" i="9"/>
  <c r="G2" i="3"/>
  <c r="L20" i="3"/>
  <c r="L19" i="3"/>
  <c r="L18" i="3"/>
  <c r="L17" i="3"/>
  <c r="N17" i="3"/>
  <c r="S5" i="3"/>
  <c r="Q13" i="3"/>
  <c r="R13" i="3"/>
  <c r="S13" i="3"/>
  <c r="P13" i="3"/>
  <c r="Q3" i="3"/>
  <c r="R3" i="3"/>
  <c r="S3" i="3"/>
  <c r="Q4" i="3"/>
  <c r="R4" i="3"/>
  <c r="S4" i="3"/>
  <c r="Q5" i="3"/>
  <c r="R5" i="3"/>
  <c r="Q6" i="3"/>
  <c r="R6" i="3"/>
  <c r="S6" i="3"/>
  <c r="Q7" i="3"/>
  <c r="R7" i="3"/>
  <c r="S7" i="3"/>
  <c r="Q8" i="3"/>
  <c r="R8" i="3"/>
  <c r="S8" i="3"/>
  <c r="Q9" i="3"/>
  <c r="R9" i="3"/>
  <c r="S9" i="3"/>
  <c r="Q10" i="3"/>
  <c r="R10" i="3"/>
  <c r="S10" i="3"/>
  <c r="Q11" i="3"/>
  <c r="R11" i="3"/>
  <c r="S11" i="3"/>
  <c r="Q12" i="3"/>
  <c r="R12" i="3"/>
  <c r="S12" i="3"/>
  <c r="P4" i="3"/>
  <c r="P5" i="3"/>
  <c r="P6" i="3"/>
  <c r="P7" i="3"/>
  <c r="P8" i="3"/>
  <c r="P9" i="3"/>
  <c r="P10" i="3"/>
  <c r="P11" i="3"/>
  <c r="P12" i="3"/>
  <c r="P3" i="3"/>
  <c r="N20" i="3"/>
  <c r="N19" i="3"/>
  <c r="N18" i="3"/>
  <c r="A8" i="8"/>
  <c r="A4" i="5"/>
  <c r="A6" i="4"/>
  <c r="B6" i="4" s="1"/>
  <c r="E2" i="4"/>
  <c r="B2" i="8"/>
  <c r="E5" i="8" s="1"/>
  <c r="Q5" i="8"/>
  <c r="R5" i="8"/>
  <c r="S5" i="8"/>
  <c r="T5" i="8"/>
  <c r="U5" i="8"/>
  <c r="V5" i="8"/>
  <c r="W5" i="8"/>
  <c r="X5" i="8"/>
  <c r="Y5" i="8"/>
  <c r="Z5" i="8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4" i="5"/>
  <c r="L9" i="9"/>
  <c r="L6" i="9"/>
  <c r="P5" i="8" l="1"/>
  <c r="O5" i="8"/>
  <c r="L5" i="8"/>
  <c r="C5" i="8"/>
  <c r="K5" i="8"/>
  <c r="J5" i="8"/>
  <c r="H5" i="8"/>
  <c r="F5" i="8"/>
  <c r="N5" i="8"/>
  <c r="M5" i="8"/>
  <c r="I5" i="8"/>
  <c r="G5" i="8"/>
  <c r="D5" i="8"/>
  <c r="B5" i="8"/>
  <c r="C7" i="8"/>
  <c r="D7" i="8" s="1"/>
  <c r="E7" i="8" s="1"/>
  <c r="F7" i="8" s="1"/>
  <c r="G7" i="8" s="1"/>
  <c r="H7" i="8" s="1"/>
  <c r="I7" i="8" s="1"/>
  <c r="J7" i="8" s="1"/>
  <c r="K7" i="8" s="1"/>
  <c r="L7" i="8" s="1"/>
  <c r="M7" i="8" s="1"/>
  <c r="N7" i="8" s="1"/>
  <c r="O7" i="8" s="1"/>
  <c r="P7" i="8" s="1"/>
  <c r="Q7" i="8" s="1"/>
  <c r="R7" i="8" s="1"/>
  <c r="S7" i="8" s="1"/>
  <c r="T7" i="8" s="1"/>
  <c r="U7" i="8" s="1"/>
  <c r="V7" i="8" s="1"/>
  <c r="W7" i="8" s="1"/>
  <c r="X7" i="8" s="1"/>
  <c r="Y7" i="8" s="1"/>
  <c r="Z7" i="8" s="1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G3" i="3"/>
  <c r="G4" i="3" s="1"/>
  <c r="G5" i="3" s="1"/>
  <c r="C3" i="5"/>
  <c r="D3" i="5" s="1"/>
  <c r="E3" i="5" s="1"/>
  <c r="F3" i="5" s="1"/>
  <c r="G3" i="5" s="1"/>
  <c r="H3" i="5" s="1"/>
  <c r="I3" i="5" s="1"/>
  <c r="J3" i="5" s="1"/>
  <c r="K3" i="5" s="1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B3" i="4"/>
  <c r="B2" i="4"/>
  <c r="A4" i="7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3" i="7"/>
  <c r="K13" i="9" l="1"/>
  <c r="N13" i="9"/>
  <c r="O13" i="9"/>
  <c r="L13" i="9"/>
  <c r="M13" i="9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7" i="4" l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B7" i="4"/>
  <c r="A69" i="2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C6" i="4" l="1"/>
  <c r="D6" i="4"/>
  <c r="C7" i="4"/>
  <c r="D7" i="4"/>
  <c r="B8" i="4"/>
  <c r="E6" i="4" l="1"/>
  <c r="F6" i="4" s="1"/>
  <c r="G6" i="4" s="1"/>
  <c r="H6" i="4" s="1"/>
  <c r="I6" i="4" s="1"/>
  <c r="J6" i="4" s="1"/>
  <c r="C8" i="4"/>
  <c r="D8" i="4"/>
  <c r="B9" i="4"/>
  <c r="E7" i="4"/>
  <c r="F7" i="4" s="1"/>
  <c r="G7" i="4" l="1"/>
  <c r="E8" i="4"/>
  <c r="F8" i="4" s="1"/>
  <c r="C9" i="4"/>
  <c r="D9" i="4"/>
  <c r="B10" i="4"/>
  <c r="G8" i="4" l="1"/>
  <c r="H8" i="4" s="1"/>
  <c r="H7" i="4"/>
  <c r="I7" i="4" s="1"/>
  <c r="J7" i="4" s="1"/>
  <c r="C10" i="4"/>
  <c r="D10" i="4"/>
  <c r="B11" i="4"/>
  <c r="E9" i="4"/>
  <c r="F9" i="4" s="1"/>
  <c r="I8" i="4" l="1"/>
  <c r="J8" i="4" s="1"/>
  <c r="G9" i="4"/>
  <c r="H9" i="4" s="1"/>
  <c r="I9" i="4" s="1"/>
  <c r="J9" i="4" s="1"/>
  <c r="C11" i="4"/>
  <c r="D11" i="4"/>
  <c r="B12" i="4"/>
  <c r="E10" i="4"/>
  <c r="F10" i="4" s="1"/>
  <c r="G10" i="4" l="1"/>
  <c r="H10" i="4" s="1"/>
  <c r="I10" i="4" s="1"/>
  <c r="J10" i="4" s="1"/>
  <c r="E11" i="4"/>
  <c r="F11" i="4" s="1"/>
  <c r="C12" i="4"/>
  <c r="D12" i="4"/>
  <c r="B13" i="4"/>
  <c r="G11" i="4" l="1"/>
  <c r="H11" i="4" s="1"/>
  <c r="I11" i="4" s="1"/>
  <c r="J11" i="4" s="1"/>
  <c r="C13" i="4"/>
  <c r="D13" i="4"/>
  <c r="B14" i="4"/>
  <c r="E12" i="4"/>
  <c r="F12" i="4" s="1"/>
  <c r="G12" i="4" l="1"/>
  <c r="H12" i="4" s="1"/>
  <c r="I12" i="4" s="1"/>
  <c r="J12" i="4" s="1"/>
  <c r="D14" i="4"/>
  <c r="C14" i="4"/>
  <c r="B15" i="4"/>
  <c r="E13" i="4"/>
  <c r="F13" i="4" s="1"/>
  <c r="G13" i="4" l="1"/>
  <c r="H13" i="4" s="1"/>
  <c r="I13" i="4" s="1"/>
  <c r="J13" i="4" s="1"/>
  <c r="C15" i="4"/>
  <c r="D15" i="4"/>
  <c r="B16" i="4"/>
  <c r="E14" i="4"/>
  <c r="F14" i="4" s="1"/>
  <c r="G14" i="4" l="1"/>
  <c r="H14" i="4" s="1"/>
  <c r="I14" i="4" s="1"/>
  <c r="J14" i="4" s="1"/>
  <c r="D16" i="4"/>
  <c r="C16" i="4"/>
  <c r="B17" i="4"/>
  <c r="E15" i="4"/>
  <c r="F15" i="4" s="1"/>
  <c r="G15" i="4" l="1"/>
  <c r="H15" i="4" s="1"/>
  <c r="I15" i="4" s="1"/>
  <c r="J15" i="4" s="1"/>
  <c r="C17" i="4"/>
  <c r="D17" i="4"/>
  <c r="B18" i="4"/>
  <c r="E16" i="4"/>
  <c r="F16" i="4" s="1"/>
  <c r="G16" i="4" l="1"/>
  <c r="H16" i="4" s="1"/>
  <c r="I16" i="4" s="1"/>
  <c r="J16" i="4" s="1"/>
  <c r="C18" i="4"/>
  <c r="D18" i="4"/>
  <c r="B19" i="4"/>
  <c r="E17" i="4"/>
  <c r="F17" i="4" s="1"/>
  <c r="G17" i="4" l="1"/>
  <c r="H17" i="4" s="1"/>
  <c r="I17" i="4" s="1"/>
  <c r="J17" i="4" s="1"/>
  <c r="C19" i="4"/>
  <c r="D19" i="4"/>
  <c r="B20" i="4"/>
  <c r="E18" i="4"/>
  <c r="F18" i="4" s="1"/>
  <c r="G18" i="4" l="1"/>
  <c r="H18" i="4" s="1"/>
  <c r="I18" i="4" s="1"/>
  <c r="J18" i="4" s="1"/>
  <c r="D20" i="4"/>
  <c r="C20" i="4"/>
  <c r="B21" i="4"/>
  <c r="E19" i="4"/>
  <c r="F19" i="4" s="1"/>
  <c r="G19" i="4" l="1"/>
  <c r="H19" i="4" s="1"/>
  <c r="I19" i="4" s="1"/>
  <c r="J19" i="4" s="1"/>
  <c r="E20" i="4"/>
  <c r="F20" i="4" s="1"/>
  <c r="D21" i="4"/>
  <c r="C21" i="4"/>
  <c r="B22" i="4"/>
  <c r="G20" i="4" l="1"/>
  <c r="H20" i="4" s="1"/>
  <c r="I20" i="4" s="1"/>
  <c r="J20" i="4" s="1"/>
  <c r="D22" i="4"/>
  <c r="C22" i="4"/>
  <c r="B23" i="4"/>
  <c r="E21" i="4"/>
  <c r="F21" i="4" s="1"/>
  <c r="G21" i="4" l="1"/>
  <c r="H21" i="4" s="1"/>
  <c r="I21" i="4" s="1"/>
  <c r="J21" i="4" s="1"/>
  <c r="C23" i="4"/>
  <c r="D23" i="4"/>
  <c r="B24" i="4"/>
  <c r="E22" i="4"/>
  <c r="F22" i="4" s="1"/>
  <c r="G22" i="4" l="1"/>
  <c r="H22" i="4"/>
  <c r="I22" i="4" s="1"/>
  <c r="J22" i="4" s="1"/>
  <c r="D24" i="4"/>
  <c r="C24" i="4"/>
  <c r="B25" i="4"/>
  <c r="E23" i="4"/>
  <c r="F23" i="4" s="1"/>
  <c r="G23" i="4" l="1"/>
  <c r="H23" i="4" s="1"/>
  <c r="I23" i="4" s="1"/>
  <c r="J23" i="4" s="1"/>
  <c r="C25" i="4"/>
  <c r="D25" i="4"/>
  <c r="B26" i="4"/>
  <c r="E24" i="4"/>
  <c r="F24" i="4" s="1"/>
  <c r="G24" i="4" l="1"/>
  <c r="H24" i="4" s="1"/>
  <c r="I24" i="4" s="1"/>
  <c r="J24" i="4" s="1"/>
  <c r="C26" i="4"/>
  <c r="D26" i="4"/>
  <c r="B27" i="4"/>
  <c r="E25" i="4"/>
  <c r="F25" i="4" s="1"/>
  <c r="G25" i="4" l="1"/>
  <c r="H25" i="4" s="1"/>
  <c r="I25" i="4" s="1"/>
  <c r="J25" i="4" s="1"/>
  <c r="C27" i="4"/>
  <c r="D27" i="4"/>
  <c r="B28" i="4"/>
  <c r="E26" i="4"/>
  <c r="F26" i="4" s="1"/>
  <c r="G26" i="4" l="1"/>
  <c r="H26" i="4"/>
  <c r="I26" i="4" s="1"/>
  <c r="J26" i="4" s="1"/>
  <c r="C28" i="4"/>
  <c r="D28" i="4"/>
  <c r="B29" i="4"/>
  <c r="E27" i="4"/>
  <c r="F27" i="4" s="1"/>
  <c r="G27" i="4" s="1"/>
  <c r="H27" i="4" l="1"/>
  <c r="I27" i="4" s="1"/>
  <c r="J27" i="4" s="1"/>
  <c r="C29" i="4"/>
  <c r="D29" i="4"/>
  <c r="B30" i="4"/>
  <c r="E28" i="4"/>
  <c r="F28" i="4" s="1"/>
  <c r="G28" i="4" s="1"/>
  <c r="H28" i="4" l="1"/>
  <c r="I28" i="4" s="1"/>
  <c r="J28" i="4" s="1"/>
  <c r="C30" i="4"/>
  <c r="D30" i="4"/>
  <c r="B31" i="4"/>
  <c r="E29" i="4"/>
  <c r="F29" i="4" s="1"/>
  <c r="G29" i="4" s="1"/>
  <c r="H29" i="4" l="1"/>
  <c r="I29" i="4" s="1"/>
  <c r="J29" i="4" s="1"/>
  <c r="C31" i="4"/>
  <c r="D31" i="4"/>
  <c r="B32" i="4"/>
  <c r="E30" i="4"/>
  <c r="F30" i="4" s="1"/>
  <c r="G30" i="4" s="1"/>
  <c r="H30" i="4" l="1"/>
  <c r="I30" i="4" s="1"/>
  <c r="J30" i="4" s="1"/>
  <c r="D32" i="4"/>
  <c r="C32" i="4"/>
  <c r="B33" i="4"/>
  <c r="E31" i="4"/>
  <c r="F31" i="4" s="1"/>
  <c r="G31" i="4" s="1"/>
  <c r="H31" i="4" l="1"/>
  <c r="I31" i="4" s="1"/>
  <c r="J31" i="4" s="1"/>
  <c r="C33" i="4"/>
  <c r="D33" i="4"/>
  <c r="B34" i="4"/>
  <c r="E32" i="4"/>
  <c r="F32" i="4" s="1"/>
  <c r="G32" i="4" s="1"/>
  <c r="E33" i="4" l="1"/>
  <c r="F33" i="4" s="1"/>
  <c r="G33" i="4" s="1"/>
  <c r="H32" i="4"/>
  <c r="I32" i="4" s="1"/>
  <c r="J32" i="4" s="1"/>
  <c r="C34" i="4"/>
  <c r="D34" i="4"/>
  <c r="B35" i="4"/>
  <c r="H33" i="4" l="1"/>
  <c r="I33" i="4" s="1"/>
  <c r="J33" i="4" s="1"/>
  <c r="C35" i="4"/>
  <c r="D35" i="4"/>
  <c r="B36" i="4"/>
  <c r="E34" i="4"/>
  <c r="F34" i="4" s="1"/>
  <c r="G34" i="4" s="1"/>
  <c r="H34" i="4" l="1"/>
  <c r="I34" i="4" s="1"/>
  <c r="J34" i="4" s="1"/>
  <c r="C36" i="4"/>
  <c r="D36" i="4"/>
  <c r="B37" i="4"/>
  <c r="E35" i="4"/>
  <c r="F35" i="4" s="1"/>
  <c r="G35" i="4" s="1"/>
  <c r="H35" i="4" l="1"/>
  <c r="I35" i="4" s="1"/>
  <c r="J35" i="4" s="1"/>
  <c r="E36" i="4"/>
  <c r="F36" i="4" s="1"/>
  <c r="G36" i="4" s="1"/>
  <c r="C37" i="4"/>
  <c r="D37" i="4"/>
  <c r="B38" i="4"/>
  <c r="H36" i="4" l="1"/>
  <c r="I36" i="4" s="1"/>
  <c r="J36" i="4" s="1"/>
  <c r="C38" i="4"/>
  <c r="D38" i="4"/>
  <c r="B39" i="4"/>
  <c r="E37" i="4"/>
  <c r="F37" i="4" s="1"/>
  <c r="G37" i="4" s="1"/>
  <c r="H37" i="4" l="1"/>
  <c r="I37" i="4" s="1"/>
  <c r="J37" i="4" s="1"/>
  <c r="C39" i="4"/>
  <c r="D39" i="4"/>
  <c r="B40" i="4"/>
  <c r="E38" i="4"/>
  <c r="F38" i="4" s="1"/>
  <c r="G38" i="4" s="1"/>
  <c r="H38" i="4" l="1"/>
  <c r="I38" i="4" s="1"/>
  <c r="J38" i="4" s="1"/>
  <c r="C40" i="4"/>
  <c r="D40" i="4"/>
  <c r="B41" i="4"/>
  <c r="E39" i="4"/>
  <c r="F39" i="4" s="1"/>
  <c r="G39" i="4" s="1"/>
  <c r="H39" i="4" l="1"/>
  <c r="I39" i="4" s="1"/>
  <c r="J39" i="4" s="1"/>
  <c r="D41" i="4"/>
  <c r="C41" i="4"/>
  <c r="B42" i="4"/>
  <c r="E40" i="4"/>
  <c r="F40" i="4" s="1"/>
  <c r="G40" i="4" s="1"/>
  <c r="H40" i="4" l="1"/>
  <c r="I40" i="4" s="1"/>
  <c r="J40" i="4" s="1"/>
  <c r="D42" i="4"/>
  <c r="C42" i="4"/>
  <c r="E41" i="4"/>
  <c r="F41" i="4" s="1"/>
  <c r="G41" i="4" s="1"/>
  <c r="B43" i="4"/>
  <c r="H41" i="4" l="1"/>
  <c r="I41" i="4" s="1"/>
  <c r="J41" i="4" s="1"/>
  <c r="C43" i="4"/>
  <c r="D43" i="4"/>
  <c r="B44" i="4"/>
  <c r="E42" i="4"/>
  <c r="F42" i="4" s="1"/>
  <c r="G42" i="4" s="1"/>
  <c r="H42" i="4" l="1"/>
  <c r="I42" i="4" s="1"/>
  <c r="J42" i="4" s="1"/>
  <c r="D44" i="4"/>
  <c r="C44" i="4"/>
  <c r="B45" i="4"/>
  <c r="E43" i="4"/>
  <c r="F43" i="4" s="1"/>
  <c r="G43" i="4" s="1"/>
  <c r="H43" i="4" l="1"/>
  <c r="I43" i="4" s="1"/>
  <c r="J43" i="4" s="1"/>
  <c r="C45" i="4"/>
  <c r="D45" i="4"/>
  <c r="B46" i="4"/>
  <c r="E44" i="4"/>
  <c r="F44" i="4" s="1"/>
  <c r="G44" i="4" s="1"/>
  <c r="H44" i="4" l="1"/>
  <c r="I44" i="4" s="1"/>
  <c r="J44" i="4" s="1"/>
  <c r="C46" i="4"/>
  <c r="D46" i="4"/>
  <c r="B47" i="4"/>
  <c r="E45" i="4"/>
  <c r="F45" i="4" s="1"/>
  <c r="G45" i="4" s="1"/>
  <c r="H45" i="4" l="1"/>
  <c r="I45" i="4" s="1"/>
  <c r="J45" i="4" s="1"/>
  <c r="C47" i="4"/>
  <c r="D47" i="4"/>
  <c r="B48" i="4"/>
  <c r="E46" i="4"/>
  <c r="F46" i="4" s="1"/>
  <c r="G46" i="4" s="1"/>
  <c r="H46" i="4" l="1"/>
  <c r="I46" i="4" s="1"/>
  <c r="J46" i="4" s="1"/>
  <c r="D48" i="4"/>
  <c r="C48" i="4"/>
  <c r="B49" i="4"/>
  <c r="E47" i="4"/>
  <c r="F47" i="4" s="1"/>
  <c r="G47" i="4" s="1"/>
  <c r="H47" i="4" l="1"/>
  <c r="I47" i="4" s="1"/>
  <c r="J47" i="4" s="1"/>
  <c r="C49" i="4"/>
  <c r="D49" i="4"/>
  <c r="B50" i="4"/>
  <c r="E48" i="4"/>
  <c r="F48" i="4" s="1"/>
  <c r="G48" i="4" s="1"/>
  <c r="H48" i="4" l="1"/>
  <c r="I48" i="4" s="1"/>
  <c r="J48" i="4" s="1"/>
  <c r="E49" i="4"/>
  <c r="F49" i="4" s="1"/>
  <c r="G49" i="4" s="1"/>
  <c r="C50" i="4"/>
  <c r="D50" i="4"/>
  <c r="B51" i="4"/>
  <c r="H49" i="4" l="1"/>
  <c r="I49" i="4" s="1"/>
  <c r="J49" i="4" s="1"/>
  <c r="C51" i="4"/>
  <c r="D51" i="4"/>
  <c r="B52" i="4"/>
  <c r="E50" i="4"/>
  <c r="F50" i="4" s="1"/>
  <c r="G50" i="4" s="1"/>
  <c r="H50" i="4" l="1"/>
  <c r="I50" i="4" s="1"/>
  <c r="J50" i="4" s="1"/>
  <c r="C52" i="4"/>
  <c r="D52" i="4"/>
  <c r="B53" i="4"/>
  <c r="E51" i="4"/>
  <c r="F51" i="4" s="1"/>
  <c r="G51" i="4" s="1"/>
  <c r="H51" i="4" l="1"/>
  <c r="I51" i="4" s="1"/>
  <c r="J51" i="4" s="1"/>
  <c r="C53" i="4"/>
  <c r="D53" i="4"/>
  <c r="B54" i="4"/>
  <c r="E52" i="4"/>
  <c r="F52" i="4" s="1"/>
  <c r="G52" i="4" s="1"/>
  <c r="H52" i="4" l="1"/>
  <c r="I52" i="4" s="1"/>
  <c r="J52" i="4" s="1"/>
  <c r="C54" i="4"/>
  <c r="D54" i="4"/>
  <c r="B55" i="4"/>
  <c r="E53" i="4"/>
  <c r="F53" i="4" s="1"/>
  <c r="G53" i="4" s="1"/>
  <c r="H53" i="4" l="1"/>
  <c r="I53" i="4" s="1"/>
  <c r="J53" i="4" s="1"/>
  <c r="C55" i="4"/>
  <c r="D55" i="4"/>
  <c r="E54" i="4"/>
  <c r="F54" i="4" s="1"/>
  <c r="G54" i="4" s="1"/>
  <c r="B56" i="4"/>
  <c r="H54" i="4" l="1"/>
  <c r="I54" i="4" s="1"/>
  <c r="J54" i="4" s="1"/>
  <c r="D56" i="4"/>
  <c r="C56" i="4"/>
  <c r="B57" i="4"/>
  <c r="E55" i="4"/>
  <c r="F55" i="4" s="1"/>
  <c r="G55" i="4" s="1"/>
  <c r="H55" i="4" l="1"/>
  <c r="I55" i="4" s="1"/>
  <c r="J55" i="4" s="1"/>
  <c r="C57" i="4"/>
  <c r="D57" i="4"/>
  <c r="B58" i="4"/>
  <c r="E56" i="4"/>
  <c r="F56" i="4" s="1"/>
  <c r="G56" i="4" s="1"/>
  <c r="H56" i="4" l="1"/>
  <c r="I56" i="4" s="1"/>
  <c r="J56" i="4" s="1"/>
  <c r="C58" i="4"/>
  <c r="D58" i="4"/>
  <c r="B59" i="4"/>
  <c r="E57" i="4"/>
  <c r="F57" i="4" s="1"/>
  <c r="G57" i="4" s="1"/>
  <c r="H57" i="4" l="1"/>
  <c r="I57" i="4" s="1"/>
  <c r="J57" i="4" s="1"/>
  <c r="C59" i="4"/>
  <c r="D59" i="4"/>
  <c r="B60" i="4"/>
  <c r="E58" i="4"/>
  <c r="F58" i="4" s="1"/>
  <c r="G58" i="4" s="1"/>
  <c r="H58" i="4" l="1"/>
  <c r="I58" i="4" s="1"/>
  <c r="J58" i="4" s="1"/>
  <c r="D60" i="4"/>
  <c r="C60" i="4"/>
  <c r="B61" i="4"/>
  <c r="E59" i="4"/>
  <c r="F59" i="4" s="1"/>
  <c r="G59" i="4" s="1"/>
  <c r="H59" i="4" l="1"/>
  <c r="I59" i="4" s="1"/>
  <c r="J59" i="4" s="1"/>
  <c r="C61" i="4"/>
  <c r="D61" i="4"/>
  <c r="B62" i="4"/>
  <c r="E60" i="4"/>
  <c r="F60" i="4" s="1"/>
  <c r="G60" i="4" s="1"/>
  <c r="H60" i="4" l="1"/>
  <c r="I60" i="4" s="1"/>
  <c r="J60" i="4" s="1"/>
  <c r="C62" i="4"/>
  <c r="D62" i="4"/>
  <c r="B63" i="4"/>
  <c r="E61" i="4"/>
  <c r="F61" i="4" s="1"/>
  <c r="G61" i="4" s="1"/>
  <c r="H61" i="4" l="1"/>
  <c r="I61" i="4" s="1"/>
  <c r="J61" i="4" s="1"/>
  <c r="C63" i="4"/>
  <c r="D63" i="4"/>
  <c r="B64" i="4"/>
  <c r="E62" i="4"/>
  <c r="F62" i="4" s="1"/>
  <c r="G62" i="4" s="1"/>
  <c r="H62" i="4" l="1"/>
  <c r="I62" i="4" s="1"/>
  <c r="J62" i="4" s="1"/>
  <c r="C64" i="4"/>
  <c r="D64" i="4"/>
  <c r="B65" i="4"/>
  <c r="E63" i="4"/>
  <c r="F63" i="4" s="1"/>
  <c r="G63" i="4" s="1"/>
  <c r="H63" i="4" l="1"/>
  <c r="I63" i="4" s="1"/>
  <c r="J63" i="4" s="1"/>
  <c r="D65" i="4"/>
  <c r="C65" i="4"/>
  <c r="B66" i="4"/>
  <c r="E64" i="4"/>
  <c r="F64" i="4" s="1"/>
  <c r="G64" i="4" s="1"/>
  <c r="H64" i="4" l="1"/>
  <c r="I64" i="4" s="1"/>
  <c r="J64" i="4" s="1"/>
  <c r="E65" i="4"/>
  <c r="F65" i="4" s="1"/>
  <c r="G65" i="4" s="1"/>
  <c r="D66" i="4"/>
  <c r="C66" i="4"/>
  <c r="H65" i="4" l="1"/>
  <c r="I65" i="4" s="1"/>
  <c r="J65" i="4" s="1"/>
  <c r="E66" i="4"/>
  <c r="F66" i="4" s="1"/>
  <c r="G66" i="4" s="1"/>
  <c r="H66" i="4" l="1"/>
  <c r="I66" i="4" s="1"/>
  <c r="J66" i="4" s="1"/>
</calcChain>
</file>

<file path=xl/sharedStrings.xml><?xml version="1.0" encoding="utf-8"?>
<sst xmlns="http://schemas.openxmlformats.org/spreadsheetml/2006/main" count="609" uniqueCount="329">
  <si>
    <t>Mortality</t>
  </si>
  <si>
    <t>Projection Scale</t>
  </si>
  <si>
    <t>G2</t>
  </si>
  <si>
    <t>0.001783</t>
  </si>
  <si>
    <t>0.000446</t>
  </si>
  <si>
    <t>0.000306</t>
  </si>
  <si>
    <t>0.000254</t>
  </si>
  <si>
    <t>0.000193</t>
  </si>
  <si>
    <t>0.000186</t>
  </si>
  <si>
    <t>0.000184</t>
  </si>
  <si>
    <t>0.000177</t>
  </si>
  <si>
    <t>0.000159</t>
  </si>
  <si>
    <t>0.000143</t>
  </si>
  <si>
    <t>0.000126</t>
  </si>
  <si>
    <t>0.000123</t>
  </si>
  <si>
    <t>0.000147</t>
  </si>
  <si>
    <t>0.000188</t>
  </si>
  <si>
    <t>0.000236</t>
  </si>
  <si>
    <t>0.000282</t>
  </si>
  <si>
    <t>0.000325</t>
  </si>
  <si>
    <t>0.000364</t>
  </si>
  <si>
    <t>0.000399</t>
  </si>
  <si>
    <t>0.00043</t>
  </si>
  <si>
    <t>0.000459</t>
  </si>
  <si>
    <t>0.000492</t>
  </si>
  <si>
    <t>0.000526</t>
  </si>
  <si>
    <t>0.000569</t>
  </si>
  <si>
    <t>0.000616</t>
  </si>
  <si>
    <t>0.000669</t>
  </si>
  <si>
    <t>0.000728</t>
  </si>
  <si>
    <t>0.000764</t>
  </si>
  <si>
    <t>0.000789</t>
  </si>
  <si>
    <t>0.000808</t>
  </si>
  <si>
    <t>0.000824</t>
  </si>
  <si>
    <t>0.000834</t>
  </si>
  <si>
    <t>0.000838</t>
  </si>
  <si>
    <t>0.000828</t>
  </si>
  <si>
    <t>0.000783</t>
  </si>
  <si>
    <t>0.0008</t>
  </si>
  <si>
    <t>0.000837</t>
  </si>
  <si>
    <t>0.000889</t>
  </si>
  <si>
    <t>0.000955</t>
  </si>
  <si>
    <t>0.001029</t>
  </si>
  <si>
    <t>0.00111</t>
  </si>
  <si>
    <t>0.001188</t>
  </si>
  <si>
    <t>0.001268</t>
  </si>
  <si>
    <t>0.001355</t>
  </si>
  <si>
    <t>0.001464</t>
  </si>
  <si>
    <t>0.001615</t>
  </si>
  <si>
    <t>0.001808</t>
  </si>
  <si>
    <t>0.002032</t>
  </si>
  <si>
    <t>0.002285</t>
  </si>
  <si>
    <t>0.002557</t>
  </si>
  <si>
    <t>0.002828</t>
  </si>
  <si>
    <t>0.003088</t>
  </si>
  <si>
    <t>0.003345</t>
  </si>
  <si>
    <t>0.003616</t>
  </si>
  <si>
    <t>0.003922</t>
  </si>
  <si>
    <t>0.004272</t>
  </si>
  <si>
    <t>0.004681</t>
  </si>
  <si>
    <t>0.005146</t>
  </si>
  <si>
    <t>0.005662</t>
  </si>
  <si>
    <t>0.006237</t>
  </si>
  <si>
    <t>0.006854</t>
  </si>
  <si>
    <t>0.00751</t>
  </si>
  <si>
    <t>0.00822</t>
  </si>
  <si>
    <t>0.009007</t>
  </si>
  <si>
    <t>0.009497</t>
  </si>
  <si>
    <t>0.010085</t>
  </si>
  <si>
    <t>0.010787</t>
  </si>
  <si>
    <t>0.011625</t>
  </si>
  <si>
    <t>0.012619</t>
  </si>
  <si>
    <t>0.013798</t>
  </si>
  <si>
    <t>0.015195</t>
  </si>
  <si>
    <t>0.016834</t>
  </si>
  <si>
    <t>0.018733</t>
  </si>
  <si>
    <t>0.020905</t>
  </si>
  <si>
    <t>0.023367</t>
  </si>
  <si>
    <t>0.026155</t>
  </si>
  <si>
    <t>0.029306</t>
  </si>
  <si>
    <t>0.032858</t>
  </si>
  <si>
    <t>0.036927</t>
  </si>
  <si>
    <t>0.041703</t>
  </si>
  <si>
    <t>0.046957</t>
  </si>
  <si>
    <t>0.052713</t>
  </si>
  <si>
    <t>0.059148</t>
  </si>
  <si>
    <t>0.066505</t>
  </si>
  <si>
    <t>0.075015</t>
  </si>
  <si>
    <t>0.084823</t>
  </si>
  <si>
    <t>0.095987</t>
  </si>
  <si>
    <t>0.108482</t>
  </si>
  <si>
    <t>0.122214</t>
  </si>
  <si>
    <t>0.136799</t>
  </si>
  <si>
    <t>0.152409</t>
  </si>
  <si>
    <t>0.169078</t>
  </si>
  <si>
    <t>0.186882</t>
  </si>
  <si>
    <t>0.205844</t>
  </si>
  <si>
    <t>0.219247</t>
  </si>
  <si>
    <t>0.238612</t>
  </si>
  <si>
    <t>0.258341</t>
  </si>
  <si>
    <t>0.278219</t>
  </si>
  <si>
    <t>0.298452</t>
  </si>
  <si>
    <t>0.32361</t>
  </si>
  <si>
    <t>0.344191</t>
  </si>
  <si>
    <t>0.364633</t>
  </si>
  <si>
    <t>0.384783</t>
  </si>
  <si>
    <t>0.4</t>
  </si>
  <si>
    <t>Age Nearest Birth</t>
  </si>
  <si>
    <t>Male</t>
  </si>
  <si>
    <t>Female</t>
  </si>
  <si>
    <t>0.001801</t>
  </si>
  <si>
    <t>0.00045</t>
  </si>
  <si>
    <t>0.000287</t>
  </si>
  <si>
    <t>0.000199</t>
  </si>
  <si>
    <t>0.000152</t>
  </si>
  <si>
    <t>0.000139</t>
  </si>
  <si>
    <t>0.00013</t>
  </si>
  <si>
    <t>0.000122</t>
  </si>
  <si>
    <t>0.000105</t>
  </si>
  <si>
    <t>0.00012</t>
  </si>
  <si>
    <t>0.000146</t>
  </si>
  <si>
    <t>0.000174</t>
  </si>
  <si>
    <t>0.00022</t>
  </si>
  <si>
    <t>0.000234</t>
  </si>
  <si>
    <t>0.000245</t>
  </si>
  <si>
    <t>0.000253</t>
  </si>
  <si>
    <t>0.00026</t>
  </si>
  <si>
    <t>0.000266</t>
  </si>
  <si>
    <t>0.000272</t>
  </si>
  <si>
    <t>0.000275</t>
  </si>
  <si>
    <t>0.000277</t>
  </si>
  <si>
    <t>0.000284</t>
  </si>
  <si>
    <t>0.00029</t>
  </si>
  <si>
    <t>0.0003</t>
  </si>
  <si>
    <t>0.000313</t>
  </si>
  <si>
    <t>0.000333</t>
  </si>
  <si>
    <t>0.000357</t>
  </si>
  <si>
    <t>0.000375</t>
  </si>
  <si>
    <t>0.00039</t>
  </si>
  <si>
    <t>0.000405</t>
  </si>
  <si>
    <t>0.000424</t>
  </si>
  <si>
    <t>0.000447</t>
  </si>
  <si>
    <t>0.000476</t>
  </si>
  <si>
    <t>0.000514</t>
  </si>
  <si>
    <t>0.00056</t>
  </si>
  <si>
    <t>0.000613</t>
  </si>
  <si>
    <t>0.000667</t>
  </si>
  <si>
    <t>0.000723</t>
  </si>
  <si>
    <t>0.000774</t>
  </si>
  <si>
    <t>0.000823</t>
  </si>
  <si>
    <t>0.000866</t>
  </si>
  <si>
    <t>0.000917</t>
  </si>
  <si>
    <t>0.000983</t>
  </si>
  <si>
    <t>0.001072</t>
  </si>
  <si>
    <t>0.001168</t>
  </si>
  <si>
    <t>0.00129</t>
  </si>
  <si>
    <t>0.001453</t>
  </si>
  <si>
    <t>0.001622</t>
  </si>
  <si>
    <t>0.001792</t>
  </si>
  <si>
    <t>0.001972</t>
  </si>
  <si>
    <t>0.002166</t>
  </si>
  <si>
    <t>0.002393</t>
  </si>
  <si>
    <t>0.002666</t>
  </si>
  <si>
    <t>0.003</t>
  </si>
  <si>
    <t>0.003393</t>
  </si>
  <si>
    <t>0.003844</t>
  </si>
  <si>
    <t>0.004352</t>
  </si>
  <si>
    <t>0.004899</t>
  </si>
  <si>
    <t>0.005482</t>
  </si>
  <si>
    <t>0.006118</t>
  </si>
  <si>
    <t>0.006829</t>
  </si>
  <si>
    <t>0.007279</t>
  </si>
  <si>
    <t>0.007821</t>
  </si>
  <si>
    <t>0.008475</t>
  </si>
  <si>
    <t>0.009234</t>
  </si>
  <si>
    <t>0.010083</t>
  </si>
  <si>
    <t>0.011011</t>
  </si>
  <si>
    <t>0.01203</t>
  </si>
  <si>
    <t>0.013154</t>
  </si>
  <si>
    <t>0.014415</t>
  </si>
  <si>
    <t>0.015869</t>
  </si>
  <si>
    <t>0.017555</t>
  </si>
  <si>
    <t>0.0195</t>
  </si>
  <si>
    <t>0.021758</t>
  </si>
  <si>
    <t>0.024412</t>
  </si>
  <si>
    <t>0.027579</t>
  </si>
  <si>
    <t>0.031501</t>
  </si>
  <si>
    <t>0.036122</t>
  </si>
  <si>
    <t>0.041477</t>
  </si>
  <si>
    <t>0.047589</t>
  </si>
  <si>
    <t>0.054441</t>
  </si>
  <si>
    <t>0.061972</t>
  </si>
  <si>
    <t>0.070155</t>
  </si>
  <si>
    <t>0.078963</t>
  </si>
  <si>
    <t>0.088336</t>
  </si>
  <si>
    <t>0.098197</t>
  </si>
  <si>
    <t>0.108323</t>
  </si>
  <si>
    <t>0.119188</t>
  </si>
  <si>
    <t>0.131334</t>
  </si>
  <si>
    <t>0.145521</t>
  </si>
  <si>
    <t>0.162722</t>
  </si>
  <si>
    <t>0.18212</t>
  </si>
  <si>
    <t>0.199661</t>
  </si>
  <si>
    <t>0.217946</t>
  </si>
  <si>
    <t>0.236834</t>
  </si>
  <si>
    <t>0.256357</t>
  </si>
  <si>
    <t>0.283802</t>
  </si>
  <si>
    <t>0.304716</t>
  </si>
  <si>
    <t>0.325819</t>
  </si>
  <si>
    <t>0.346936</t>
  </si>
  <si>
    <t>0.367898</t>
  </si>
  <si>
    <t>0.387607</t>
  </si>
  <si>
    <t>Valuation Date</t>
  </si>
  <si>
    <t>Source:</t>
  </si>
  <si>
    <t>https://mort.soa.org</t>
  </si>
  <si>
    <t>Mortality Rates</t>
  </si>
  <si>
    <t>0.01</t>
  </si>
  <si>
    <t>0.011</t>
  </si>
  <si>
    <t>0.012</t>
  </si>
  <si>
    <t>0.013</t>
  </si>
  <si>
    <t>0.014</t>
  </si>
  <si>
    <t>0.015</t>
  </si>
  <si>
    <t>0.010</t>
  </si>
  <si>
    <t>0.009</t>
  </si>
  <si>
    <t>0.008</t>
  </si>
  <si>
    <t>0.007</t>
  </si>
  <si>
    <t>0.006</t>
  </si>
  <si>
    <t>0.005</t>
  </si>
  <si>
    <t>0.004</t>
  </si>
  <si>
    <t>0.002</t>
  </si>
  <si>
    <t>0.001</t>
  </si>
  <si>
    <t>0.000</t>
  </si>
  <si>
    <t>Gender</t>
  </si>
  <si>
    <t>M</t>
  </si>
  <si>
    <t>F</t>
  </si>
  <si>
    <t>Annual Benefit</t>
  </si>
  <si>
    <t>There are no period certain or survivor beneits</t>
  </si>
  <si>
    <t>Policy</t>
  </si>
  <si>
    <t>Year</t>
  </si>
  <si>
    <t>Base Qx</t>
  </si>
  <si>
    <t>Improvement</t>
  </si>
  <si>
    <t>Improved Qx</t>
  </si>
  <si>
    <t>Px</t>
  </si>
  <si>
    <t>tPx</t>
  </si>
  <si>
    <t>Benefit</t>
  </si>
  <si>
    <t>Total Cash Flow</t>
  </si>
  <si>
    <t>All policies pay benefits once per calendar year on December 31</t>
  </si>
  <si>
    <t>Total</t>
  </si>
  <si>
    <t>2012 Individual Annuity Mortality Table, Basic</t>
  </si>
  <si>
    <t>YOB</t>
  </si>
  <si>
    <t>Scen \ Contract</t>
  </si>
  <si>
    <t>Age</t>
  </si>
  <si>
    <t>1 - tPx</t>
  </si>
  <si>
    <t>Cumulatiove Probability of</t>
  </si>
  <si>
    <t>Survival</t>
  </si>
  <si>
    <t>Death</t>
  </si>
  <si>
    <t>Survive = 1</t>
  </si>
  <si>
    <t>Dead = 0</t>
  </si>
  <si>
    <t>Scenario</t>
  </si>
  <si>
    <t>Random Number</t>
  </si>
  <si>
    <t>&lt; M = 0, F = 1</t>
  </si>
  <si>
    <t>&lt; input value</t>
  </si>
  <si>
    <t>Cash Flow Projection by Contract</t>
  </si>
  <si>
    <t>Year \ Contract</t>
  </si>
  <si>
    <t>Contract #</t>
  </si>
  <si>
    <t>Totals</t>
  </si>
  <si>
    <t>Contract count</t>
  </si>
  <si>
    <t>Annual benefit</t>
  </si>
  <si>
    <t>Year \ Scen</t>
  </si>
  <si>
    <t>Total Cash Flow by Scenario</t>
  </si>
  <si>
    <t>Mean</t>
  </si>
  <si>
    <t>Std Dev</t>
  </si>
  <si>
    <t>Median</t>
  </si>
  <si>
    <t>Min</t>
  </si>
  <si>
    <t>Max</t>
  </si>
  <si>
    <t>PV Cash Flow</t>
  </si>
  <si>
    <t>PV Cash Flow Statistics</t>
  </si>
  <si>
    <t>Current Time</t>
  </si>
  <si>
    <t>Run Start Time</t>
  </si>
  <si>
    <t>Run End Time</t>
  </si>
  <si>
    <t>Total Run Time</t>
  </si>
  <si>
    <t>Number of Scenarios</t>
  </si>
  <si>
    <t>&lt; must be in the range of 1 to 25</t>
  </si>
  <si>
    <t>Number of contracts</t>
  </si>
  <si>
    <t>&lt; must be in the range of 1 to 10</t>
  </si>
  <si>
    <t>Discount rate</t>
  </si>
  <si>
    <r>
      <t xml:space="preserve">Contract census data is shown in the </t>
    </r>
    <r>
      <rPr>
        <b/>
        <sz val="12"/>
        <color theme="1"/>
        <rFont val="Aptos Narrow"/>
        <scheme val="minor"/>
      </rPr>
      <t>Data</t>
    </r>
    <r>
      <rPr>
        <sz val="12"/>
        <color theme="1"/>
        <rFont val="Aptos Narrow"/>
        <family val="2"/>
        <scheme val="minor"/>
      </rPr>
      <t xml:space="preserve"> tab.  Projections can be done for all 10 contracts, or fewer than 10</t>
    </r>
  </si>
  <si>
    <r>
      <t xml:space="preserve">Random numbers used to drive the stochastic process are shown in the </t>
    </r>
    <r>
      <rPr>
        <b/>
        <sz val="12"/>
        <color theme="1"/>
        <rFont val="Aptos Narrow"/>
        <scheme val="minor"/>
      </rPr>
      <t>Random Numbers</t>
    </r>
    <r>
      <rPr>
        <sz val="12"/>
        <color theme="1"/>
        <rFont val="Aptos Narrow"/>
        <family val="2"/>
        <scheme val="minor"/>
      </rPr>
      <t xml:space="preserve"> tab</t>
    </r>
  </si>
  <si>
    <r>
      <t xml:space="preserve">Cash flow projections for all contracts in a particular scenario are accumulated in the </t>
    </r>
    <r>
      <rPr>
        <b/>
        <sz val="12"/>
        <color theme="1"/>
        <rFont val="Aptos Narrow"/>
        <scheme val="minor"/>
      </rPr>
      <t>Scenario Results</t>
    </r>
    <r>
      <rPr>
        <sz val="12"/>
        <color theme="1"/>
        <rFont val="Aptos Narrow"/>
        <family val="2"/>
        <scheme val="minor"/>
      </rPr>
      <t xml:space="preserve"> tab</t>
    </r>
  </si>
  <si>
    <r>
      <t xml:space="preserve">Cash flow projections for all scenarios are accumulated in the </t>
    </r>
    <r>
      <rPr>
        <b/>
        <sz val="12"/>
        <color theme="1"/>
        <rFont val="Aptos Narrow"/>
        <scheme val="minor"/>
      </rPr>
      <t>Total Results</t>
    </r>
    <r>
      <rPr>
        <sz val="12"/>
        <color theme="1"/>
        <rFont val="Aptos Narrow"/>
        <family val="2"/>
        <scheme val="minor"/>
      </rPr>
      <t xml:space="preserve"> tab</t>
    </r>
  </si>
  <si>
    <t>Key inputs for each run are:</t>
  </si>
  <si>
    <t>Number of scenarios: From 1 to 25</t>
  </si>
  <si>
    <t>Number of contracts: From 1 to 10</t>
  </si>
  <si>
    <r>
      <t xml:space="preserve">Once the desired inputs have been selected, push </t>
    </r>
    <r>
      <rPr>
        <b/>
        <sz val="12"/>
        <color theme="1"/>
        <rFont val="Aptos Narrow"/>
        <scheme val="minor"/>
      </rPr>
      <t>Button1</t>
    </r>
    <r>
      <rPr>
        <sz val="12"/>
        <color theme="1"/>
        <rFont val="Aptos Narrow"/>
        <family val="2"/>
        <scheme val="minor"/>
      </rPr>
      <t xml:space="preserve"> to kick off the run</t>
    </r>
  </si>
  <si>
    <t>Key statistics are shown based on the PV of Cash Flows:</t>
  </si>
  <si>
    <t>Mean PVCF</t>
  </si>
  <si>
    <t>Median PVCF</t>
  </si>
  <si>
    <t>PVCF standard deviation</t>
  </si>
  <si>
    <t>Min PVCF</t>
  </si>
  <si>
    <t>Max PVCF</t>
  </si>
  <si>
    <r>
      <t xml:space="preserve">A macro called </t>
    </r>
    <r>
      <rPr>
        <b/>
        <sz val="12"/>
        <color theme="1"/>
        <rFont val="Aptos Narrow"/>
        <scheme val="minor"/>
      </rPr>
      <t>Annuity_Model</t>
    </r>
    <r>
      <rPr>
        <sz val="12"/>
        <color theme="1"/>
        <rFont val="Aptos Narrow"/>
        <family val="2"/>
        <scheme val="minor"/>
      </rPr>
      <t xml:space="preserve"> drives the stochastic process.  It is written in Visual Basic and can be viewed and edited in the Developer tab by choosing the Macro button</t>
    </r>
  </si>
  <si>
    <r>
      <t xml:space="preserve">The only input assumptions are the valuation date and the mortality table, shown in the </t>
    </r>
    <r>
      <rPr>
        <b/>
        <sz val="12"/>
        <color theme="1"/>
        <rFont val="Aptos Narrow"/>
        <scheme val="minor"/>
      </rPr>
      <t>Assumptions</t>
    </r>
    <r>
      <rPr>
        <sz val="12"/>
        <color theme="1"/>
        <rFont val="Aptos Narrow"/>
        <family val="2"/>
        <scheme val="minor"/>
      </rPr>
      <t xml:space="preserve"> tab</t>
    </r>
  </si>
  <si>
    <r>
      <t xml:space="preserve">The </t>
    </r>
    <r>
      <rPr>
        <b/>
        <sz val="12"/>
        <color theme="1"/>
        <rFont val="Aptos Narrow"/>
        <scheme val="minor"/>
      </rPr>
      <t>Calculations</t>
    </r>
    <r>
      <rPr>
        <sz val="12"/>
        <color theme="1"/>
        <rFont val="Aptos Narrow"/>
        <family val="2"/>
        <scheme val="minor"/>
      </rPr>
      <t xml:space="preserve"> tab determines the year of death for each contract / scenario as the year in which 1 - tPx (cumulative probability of death) exceeds the the random number for that contract / scenario </t>
    </r>
  </si>
  <si>
    <t>Discount rate: This interest rate is used to PV cash flows for each scenario</t>
  </si>
  <si>
    <t>This model projects cash flows for a block of life contingent payout annuity contracts</t>
  </si>
  <si>
    <t>A For Next statement drives an outer loop through all scenarios</t>
  </si>
  <si>
    <t>A For Next statement drives an inner loop through all contracts</t>
  </si>
  <si>
    <t>The start and end time of each run are recorded, to measure model efficiency.  Reducing the number of scenarios and/or contracts enables the model to run faster</t>
  </si>
  <si>
    <t>Mortality Is treated as a stochastic variable, with projections done for up to 25 scenarios.  This enables the user to see the range of possible outcomes  for this small block of contracts</t>
  </si>
  <si>
    <t>The macro does the following:</t>
  </si>
  <si>
    <r>
      <t xml:space="preserve">The </t>
    </r>
    <r>
      <rPr>
        <b/>
        <sz val="12"/>
        <color theme="1"/>
        <rFont val="Aptos Narrow"/>
        <scheme val="minor"/>
      </rPr>
      <t>Dashboard</t>
    </r>
    <r>
      <rPr>
        <sz val="12"/>
        <color theme="1"/>
        <rFont val="Aptos Narrow"/>
        <family val="2"/>
        <scheme val="minor"/>
      </rPr>
      <t xml:space="preserve"> tab enables the user to select input parameters, initiate the stochastic run, and view key output results for each run in one place</t>
    </r>
  </si>
  <si>
    <t>Discount Rate</t>
  </si>
  <si>
    <t>Average YOB</t>
  </si>
  <si>
    <t>Average age</t>
  </si>
  <si>
    <t>weighted by benefit amount</t>
  </si>
  <si>
    <t>on valuation date</t>
  </si>
  <si>
    <t>Base</t>
  </si>
  <si>
    <t>Run Time</t>
  </si>
  <si>
    <t>Fewer scenarios</t>
  </si>
  <si>
    <t>1954 - 1960</t>
  </si>
  <si>
    <t>1945 - 1952</t>
  </si>
  <si>
    <t>1953 - 1960</t>
  </si>
  <si>
    <t>Original Data</t>
  </si>
  <si>
    <t>Original Data Reduced to 4 model points</t>
  </si>
  <si>
    <t>1946 - 1952</t>
  </si>
  <si>
    <t>Model points</t>
  </si>
  <si>
    <t>Summary of Results</t>
  </si>
  <si>
    <t>Variances from Base</t>
  </si>
  <si>
    <t>YOB Cohort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</si>
</sst>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_);_(* \(#,##0.00000\);_(* &quot;-&quot;??_);_(@_)"/>
    <numFmt numFmtId="165" formatCode="m/d/yyyy;@"/>
    <numFmt numFmtId="166" formatCode="#,##0.000000_);\(#,##0.000000\)"/>
    <numFmt numFmtId="167" formatCode="_(* #,##0.000000_);_(* \(#,##0.000000\);_(* &quot;-&quot;??_);_(@_)"/>
    <numFmt numFmtId="168" formatCode="_(* #,##0_);_(* \(#,##0\);_(* &quot;-&quot;??_);_(@_)"/>
    <numFmt numFmtId="169" formatCode="#,##0.0_);\(#,##0.0\)"/>
    <numFmt numFmtId="170" formatCode="[$-F400]h:mm:ss\ AM/PM"/>
    <numFmt numFmtId="171" formatCode="mm:ss.0;@"/>
    <numFmt numFmtId="172" formatCode="0_);\(0\)"/>
    <numFmt numFmtId="173" formatCode="0.0"/>
  </numFmts>
  <fonts count="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0" xfId="1" applyNumberFormat="1" applyFont="1" applyAlignment="1">
      <alignment horizontal="right"/>
    </xf>
    <xf numFmtId="164" fontId="0" fillId="0" borderId="0" xfId="1" applyNumberFormat="1" applyFont="1" applyAlignment="1">
      <alignment horizontal="left"/>
    </xf>
    <xf numFmtId="164" fontId="2" fillId="0" borderId="0" xfId="3" applyNumberFormat="1" applyAlignment="1">
      <alignment horizontal="left"/>
    </xf>
    <xf numFmtId="167" fontId="0" fillId="0" borderId="0" xfId="1" applyNumberFormat="1" applyFont="1" applyAlignment="1">
      <alignment horizontal="center" vertical="center"/>
    </xf>
    <xf numFmtId="167" fontId="0" fillId="0" borderId="0" xfId="1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68" fontId="0" fillId="0" borderId="0" xfId="1" applyNumberFormat="1" applyFont="1" applyAlignment="1">
      <alignment horizontal="center"/>
    </xf>
    <xf numFmtId="166" fontId="0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/>
    </xf>
    <xf numFmtId="0" fontId="0" fillId="2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8" fontId="0" fillId="0" borderId="0" xfId="1" applyNumberFormat="1" applyFont="1" applyAlignment="1"/>
    <xf numFmtId="37" fontId="0" fillId="0" borderId="0" xfId="2" applyNumberFormat="1" applyFon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68" fontId="0" fillId="0" borderId="0" xfId="0" applyNumberFormat="1"/>
    <xf numFmtId="10" fontId="0" fillId="0" borderId="0" xfId="0" applyNumberForma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10" fontId="6" fillId="2" borderId="0" xfId="0" applyNumberFormat="1" applyFont="1" applyFill="1" applyAlignment="1">
      <alignment horizontal="center"/>
    </xf>
    <xf numFmtId="170" fontId="6" fillId="0" borderId="0" xfId="0" applyNumberFormat="1" applyFont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168" fontId="6" fillId="0" borderId="6" xfId="1" applyNumberFormat="1" applyFont="1" applyBorder="1" applyAlignment="1">
      <alignment horizontal="center"/>
    </xf>
    <xf numFmtId="168" fontId="6" fillId="0" borderId="7" xfId="1" applyNumberFormat="1" applyFont="1" applyBorder="1" applyAlignment="1">
      <alignment horizontal="center"/>
    </xf>
    <xf numFmtId="168" fontId="6" fillId="0" borderId="8" xfId="1" applyNumberFormat="1" applyFont="1" applyBorder="1" applyAlignment="1">
      <alignment horizontal="center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171" fontId="7" fillId="0" borderId="0" xfId="0" applyNumberFormat="1" applyFont="1" applyAlignment="1">
      <alignment horizontal="center"/>
    </xf>
    <xf numFmtId="168" fontId="0" fillId="0" borderId="0" xfId="1" applyNumberFormat="1" applyFont="1"/>
    <xf numFmtId="165" fontId="0" fillId="2" borderId="0" xfId="1" applyNumberFormat="1" applyFont="1" applyFill="1" applyAlignment="1">
      <alignment horizontal="center"/>
    </xf>
    <xf numFmtId="172" fontId="0" fillId="0" borderId="0" xfId="0" applyNumberFormat="1" applyAlignment="1">
      <alignment horizontal="center"/>
    </xf>
    <xf numFmtId="37" fontId="0" fillId="0" borderId="0" xfId="0" applyNumberFormat="1" applyAlignment="1">
      <alignment horizontal="center"/>
    </xf>
    <xf numFmtId="0" fontId="6" fillId="0" borderId="4" xfId="0" applyFont="1" applyBorder="1"/>
    <xf numFmtId="0" fontId="6" fillId="0" borderId="4" xfId="0" applyFont="1" applyBorder="1" applyAlignment="1">
      <alignment horizontal="right"/>
    </xf>
    <xf numFmtId="168" fontId="6" fillId="0" borderId="0" xfId="0" applyNumberFormat="1" applyFont="1"/>
    <xf numFmtId="0" fontId="6" fillId="0" borderId="6" xfId="0" applyFont="1" applyBorder="1" applyAlignment="1">
      <alignment horizontal="right"/>
    </xf>
    <xf numFmtId="168" fontId="6" fillId="0" borderId="7" xfId="0" applyNumberFormat="1" applyFont="1" applyBorder="1"/>
    <xf numFmtId="173" fontId="6" fillId="0" borderId="5" xfId="1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173" fontId="6" fillId="0" borderId="8" xfId="1" applyNumberFormat="1" applyFont="1" applyBorder="1" applyAlignment="1">
      <alignment horizontal="center"/>
    </xf>
    <xf numFmtId="0" fontId="6" fillId="3" borderId="0" xfId="0" applyFont="1" applyFill="1"/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64" fontId="0" fillId="0" borderId="0" xfId="1" applyNumberFormat="1" applyFont="1" applyAlignment="1">
      <alignment horizontal="center"/>
    </xf>
    <xf numFmtId="0" fontId="0" fillId="0" borderId="0" xfId="0" applyAlignment="1">
      <alignment horizontal="center"/>
    </xf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Cash</a:t>
            </a:r>
            <a:r>
              <a:rPr lang="en-US" sz="1600" b="1" baseline="0"/>
              <a:t> Flow Projection by Scenario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8085460836383E-2"/>
          <c:y val="3.1161473087818695E-2"/>
          <c:w val="0.88752986572880921"/>
          <c:h val="0.8694297112860892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Results'!$B$8:$B$68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447000</c:v>
                </c:pt>
                <c:pt idx="4">
                  <c:v>369000</c:v>
                </c:pt>
                <c:pt idx="5">
                  <c:v>369000</c:v>
                </c:pt>
                <c:pt idx="6">
                  <c:v>369000</c:v>
                </c:pt>
                <c:pt idx="7">
                  <c:v>320000</c:v>
                </c:pt>
                <c:pt idx="8">
                  <c:v>320000</c:v>
                </c:pt>
                <c:pt idx="9">
                  <c:v>300000</c:v>
                </c:pt>
                <c:pt idx="10">
                  <c:v>250000</c:v>
                </c:pt>
                <c:pt idx="11">
                  <c:v>250000</c:v>
                </c:pt>
                <c:pt idx="12">
                  <c:v>250000</c:v>
                </c:pt>
                <c:pt idx="13">
                  <c:v>250000</c:v>
                </c:pt>
                <c:pt idx="14">
                  <c:v>250000</c:v>
                </c:pt>
                <c:pt idx="15">
                  <c:v>250000</c:v>
                </c:pt>
                <c:pt idx="16">
                  <c:v>154000</c:v>
                </c:pt>
                <c:pt idx="17">
                  <c:v>154000</c:v>
                </c:pt>
                <c:pt idx="18">
                  <c:v>154000</c:v>
                </c:pt>
                <c:pt idx="19">
                  <c:v>154000</c:v>
                </c:pt>
                <c:pt idx="20">
                  <c:v>89000</c:v>
                </c:pt>
                <c:pt idx="21">
                  <c:v>89000</c:v>
                </c:pt>
                <c:pt idx="22">
                  <c:v>89000</c:v>
                </c:pt>
                <c:pt idx="23">
                  <c:v>89000</c:v>
                </c:pt>
                <c:pt idx="24">
                  <c:v>61000</c:v>
                </c:pt>
                <c:pt idx="25">
                  <c:v>61000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22000</c:v>
                </c:pt>
                <c:pt idx="35">
                  <c:v>22000</c:v>
                </c:pt>
                <c:pt idx="36">
                  <c:v>22000</c:v>
                </c:pt>
                <c:pt idx="37">
                  <c:v>22000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764-8E4A-A768-0F9E9DB74E4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Results'!$C$8:$C$68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496000</c:v>
                </c:pt>
                <c:pt idx="3">
                  <c:v>496000</c:v>
                </c:pt>
                <c:pt idx="4">
                  <c:v>496000</c:v>
                </c:pt>
                <c:pt idx="5">
                  <c:v>496000</c:v>
                </c:pt>
                <c:pt idx="6">
                  <c:v>496000</c:v>
                </c:pt>
                <c:pt idx="7">
                  <c:v>496000</c:v>
                </c:pt>
                <c:pt idx="8">
                  <c:v>496000</c:v>
                </c:pt>
                <c:pt idx="9">
                  <c:v>496000</c:v>
                </c:pt>
                <c:pt idx="10">
                  <c:v>457000</c:v>
                </c:pt>
                <c:pt idx="11">
                  <c:v>392000</c:v>
                </c:pt>
                <c:pt idx="12">
                  <c:v>392000</c:v>
                </c:pt>
                <c:pt idx="13">
                  <c:v>392000</c:v>
                </c:pt>
                <c:pt idx="14">
                  <c:v>314000</c:v>
                </c:pt>
                <c:pt idx="15">
                  <c:v>314000</c:v>
                </c:pt>
                <c:pt idx="16">
                  <c:v>314000</c:v>
                </c:pt>
                <c:pt idx="17">
                  <c:v>294000</c:v>
                </c:pt>
                <c:pt idx="18">
                  <c:v>272000</c:v>
                </c:pt>
                <c:pt idx="19">
                  <c:v>174000</c:v>
                </c:pt>
                <c:pt idx="20">
                  <c:v>174000</c:v>
                </c:pt>
                <c:pt idx="21">
                  <c:v>174000</c:v>
                </c:pt>
                <c:pt idx="22">
                  <c:v>124000</c:v>
                </c:pt>
                <c:pt idx="23">
                  <c:v>124000</c:v>
                </c:pt>
                <c:pt idx="24">
                  <c:v>124000</c:v>
                </c:pt>
                <c:pt idx="25">
                  <c:v>124000</c:v>
                </c:pt>
                <c:pt idx="26">
                  <c:v>124000</c:v>
                </c:pt>
                <c:pt idx="27">
                  <c:v>124000</c:v>
                </c:pt>
                <c:pt idx="28">
                  <c:v>124000</c:v>
                </c:pt>
                <c:pt idx="29">
                  <c:v>28000</c:v>
                </c:pt>
                <c:pt idx="30">
                  <c:v>28000</c:v>
                </c:pt>
                <c:pt idx="31">
                  <c:v>28000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764-8E4A-A768-0F9E9DB74E4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Results'!$D$8:$D$68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447000</c:v>
                </c:pt>
                <c:pt idx="9">
                  <c:v>447000</c:v>
                </c:pt>
                <c:pt idx="10">
                  <c:v>447000</c:v>
                </c:pt>
                <c:pt idx="11">
                  <c:v>447000</c:v>
                </c:pt>
                <c:pt idx="12">
                  <c:v>447000</c:v>
                </c:pt>
                <c:pt idx="13">
                  <c:v>447000</c:v>
                </c:pt>
                <c:pt idx="14">
                  <c:v>349000</c:v>
                </c:pt>
                <c:pt idx="15">
                  <c:v>214000</c:v>
                </c:pt>
                <c:pt idx="16">
                  <c:v>214000</c:v>
                </c:pt>
                <c:pt idx="17">
                  <c:v>164000</c:v>
                </c:pt>
                <c:pt idx="18">
                  <c:v>164000</c:v>
                </c:pt>
                <c:pt idx="19">
                  <c:v>164000</c:v>
                </c:pt>
                <c:pt idx="20">
                  <c:v>164000</c:v>
                </c:pt>
                <c:pt idx="21">
                  <c:v>164000</c:v>
                </c:pt>
                <c:pt idx="22">
                  <c:v>164000</c:v>
                </c:pt>
                <c:pt idx="23">
                  <c:v>99000</c:v>
                </c:pt>
                <c:pt idx="24">
                  <c:v>99000</c:v>
                </c:pt>
                <c:pt idx="25">
                  <c:v>99000</c:v>
                </c:pt>
                <c:pt idx="26">
                  <c:v>50000</c:v>
                </c:pt>
                <c:pt idx="27">
                  <c:v>50000</c:v>
                </c:pt>
                <c:pt idx="28">
                  <c:v>22000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764-8E4A-A768-0F9E9DB74E4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Results'!$E$8:$E$68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447000</c:v>
                </c:pt>
                <c:pt idx="12">
                  <c:v>447000</c:v>
                </c:pt>
                <c:pt idx="13">
                  <c:v>447000</c:v>
                </c:pt>
                <c:pt idx="14">
                  <c:v>398000</c:v>
                </c:pt>
                <c:pt idx="15">
                  <c:v>302000</c:v>
                </c:pt>
                <c:pt idx="16">
                  <c:v>302000</c:v>
                </c:pt>
                <c:pt idx="17">
                  <c:v>204000</c:v>
                </c:pt>
                <c:pt idx="18">
                  <c:v>154000</c:v>
                </c:pt>
                <c:pt idx="19">
                  <c:v>115000</c:v>
                </c:pt>
                <c:pt idx="20">
                  <c:v>115000</c:v>
                </c:pt>
                <c:pt idx="21">
                  <c:v>115000</c:v>
                </c:pt>
                <c:pt idx="22">
                  <c:v>115000</c:v>
                </c:pt>
                <c:pt idx="23">
                  <c:v>115000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87000</c:v>
                </c:pt>
                <c:pt idx="32">
                  <c:v>87000</c:v>
                </c:pt>
                <c:pt idx="33">
                  <c:v>87000</c:v>
                </c:pt>
                <c:pt idx="34">
                  <c:v>22000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764-8E4A-A768-0F9E9DB74E4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Results'!$F$8:$F$68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496000</c:v>
                </c:pt>
                <c:pt idx="3">
                  <c:v>496000</c:v>
                </c:pt>
                <c:pt idx="4">
                  <c:v>496000</c:v>
                </c:pt>
                <c:pt idx="5">
                  <c:v>496000</c:v>
                </c:pt>
                <c:pt idx="6">
                  <c:v>496000</c:v>
                </c:pt>
                <c:pt idx="7">
                  <c:v>496000</c:v>
                </c:pt>
                <c:pt idx="8">
                  <c:v>496000</c:v>
                </c:pt>
                <c:pt idx="9">
                  <c:v>496000</c:v>
                </c:pt>
                <c:pt idx="10">
                  <c:v>446000</c:v>
                </c:pt>
                <c:pt idx="11">
                  <c:v>446000</c:v>
                </c:pt>
                <c:pt idx="12">
                  <c:v>446000</c:v>
                </c:pt>
                <c:pt idx="13">
                  <c:v>368000</c:v>
                </c:pt>
                <c:pt idx="14">
                  <c:v>368000</c:v>
                </c:pt>
                <c:pt idx="15">
                  <c:v>205000</c:v>
                </c:pt>
                <c:pt idx="16">
                  <c:v>205000</c:v>
                </c:pt>
                <c:pt idx="17">
                  <c:v>177000</c:v>
                </c:pt>
                <c:pt idx="18">
                  <c:v>157000</c:v>
                </c:pt>
                <c:pt idx="19">
                  <c:v>157000</c:v>
                </c:pt>
                <c:pt idx="20">
                  <c:v>157000</c:v>
                </c:pt>
                <c:pt idx="21">
                  <c:v>157000</c:v>
                </c:pt>
                <c:pt idx="22">
                  <c:v>157000</c:v>
                </c:pt>
                <c:pt idx="23">
                  <c:v>157000</c:v>
                </c:pt>
                <c:pt idx="24">
                  <c:v>157000</c:v>
                </c:pt>
                <c:pt idx="25">
                  <c:v>157000</c:v>
                </c:pt>
                <c:pt idx="26">
                  <c:v>157000</c:v>
                </c:pt>
                <c:pt idx="27">
                  <c:v>157000</c:v>
                </c:pt>
                <c:pt idx="28">
                  <c:v>157000</c:v>
                </c:pt>
                <c:pt idx="29">
                  <c:v>157000</c:v>
                </c:pt>
                <c:pt idx="30">
                  <c:v>157000</c:v>
                </c:pt>
                <c:pt idx="31">
                  <c:v>157000</c:v>
                </c:pt>
                <c:pt idx="32">
                  <c:v>61000</c:v>
                </c:pt>
                <c:pt idx="33">
                  <c:v>61000</c:v>
                </c:pt>
                <c:pt idx="34">
                  <c:v>61000</c:v>
                </c:pt>
                <c:pt idx="35">
                  <c:v>61000</c:v>
                </c:pt>
                <c:pt idx="36">
                  <c:v>22000</c:v>
                </c:pt>
                <c:pt idx="37">
                  <c:v>22000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4-8E4A-A768-0F9E9DB74E46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Results'!$G$8:$G$68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495000</c:v>
                </c:pt>
                <c:pt idx="7">
                  <c:v>456000</c:v>
                </c:pt>
                <c:pt idx="8">
                  <c:v>360000</c:v>
                </c:pt>
                <c:pt idx="9">
                  <c:v>360000</c:v>
                </c:pt>
                <c:pt idx="10">
                  <c:v>360000</c:v>
                </c:pt>
                <c:pt idx="11">
                  <c:v>311000</c:v>
                </c:pt>
                <c:pt idx="12">
                  <c:v>311000</c:v>
                </c:pt>
                <c:pt idx="13">
                  <c:v>311000</c:v>
                </c:pt>
                <c:pt idx="14">
                  <c:v>311000</c:v>
                </c:pt>
                <c:pt idx="15">
                  <c:v>311000</c:v>
                </c:pt>
                <c:pt idx="16">
                  <c:v>311000</c:v>
                </c:pt>
                <c:pt idx="17">
                  <c:v>311000</c:v>
                </c:pt>
                <c:pt idx="18">
                  <c:v>289000</c:v>
                </c:pt>
                <c:pt idx="19">
                  <c:v>191000</c:v>
                </c:pt>
                <c:pt idx="20">
                  <c:v>191000</c:v>
                </c:pt>
                <c:pt idx="21">
                  <c:v>191000</c:v>
                </c:pt>
                <c:pt idx="22">
                  <c:v>191000</c:v>
                </c:pt>
                <c:pt idx="23">
                  <c:v>191000</c:v>
                </c:pt>
                <c:pt idx="24">
                  <c:v>143000</c:v>
                </c:pt>
                <c:pt idx="25">
                  <c:v>143000</c:v>
                </c:pt>
                <c:pt idx="26">
                  <c:v>65000</c:v>
                </c:pt>
                <c:pt idx="27">
                  <c:v>65000</c:v>
                </c:pt>
                <c:pt idx="28">
                  <c:v>65000</c:v>
                </c:pt>
                <c:pt idx="29">
                  <c:v>65000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4-8E4A-A768-0F9E9DB74E46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Results'!$H$8:$H$68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495000</c:v>
                </c:pt>
                <c:pt idx="9">
                  <c:v>379000</c:v>
                </c:pt>
                <c:pt idx="10">
                  <c:v>379000</c:v>
                </c:pt>
                <c:pt idx="11">
                  <c:v>379000</c:v>
                </c:pt>
                <c:pt idx="12">
                  <c:v>379000</c:v>
                </c:pt>
                <c:pt idx="13">
                  <c:v>379000</c:v>
                </c:pt>
                <c:pt idx="14">
                  <c:v>340000</c:v>
                </c:pt>
                <c:pt idx="15">
                  <c:v>340000</c:v>
                </c:pt>
                <c:pt idx="16">
                  <c:v>340000</c:v>
                </c:pt>
                <c:pt idx="17">
                  <c:v>340000</c:v>
                </c:pt>
                <c:pt idx="18">
                  <c:v>262000</c:v>
                </c:pt>
                <c:pt idx="19">
                  <c:v>262000</c:v>
                </c:pt>
                <c:pt idx="20">
                  <c:v>262000</c:v>
                </c:pt>
                <c:pt idx="21">
                  <c:v>262000</c:v>
                </c:pt>
                <c:pt idx="22">
                  <c:v>197000</c:v>
                </c:pt>
                <c:pt idx="23">
                  <c:v>197000</c:v>
                </c:pt>
                <c:pt idx="24">
                  <c:v>99000</c:v>
                </c:pt>
                <c:pt idx="25">
                  <c:v>50000</c:v>
                </c:pt>
                <c:pt idx="26">
                  <c:v>50000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4-8E4A-A768-0F9E9DB74E46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Results'!$I$8:$I$68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525000</c:v>
                </c:pt>
                <c:pt idx="6">
                  <c:v>525000</c:v>
                </c:pt>
                <c:pt idx="7">
                  <c:v>447000</c:v>
                </c:pt>
                <c:pt idx="8">
                  <c:v>447000</c:v>
                </c:pt>
                <c:pt idx="9">
                  <c:v>447000</c:v>
                </c:pt>
                <c:pt idx="10">
                  <c:v>398000</c:v>
                </c:pt>
                <c:pt idx="11">
                  <c:v>348000</c:v>
                </c:pt>
                <c:pt idx="12">
                  <c:v>348000</c:v>
                </c:pt>
                <c:pt idx="13">
                  <c:v>348000</c:v>
                </c:pt>
                <c:pt idx="14">
                  <c:v>348000</c:v>
                </c:pt>
                <c:pt idx="15">
                  <c:v>250000</c:v>
                </c:pt>
                <c:pt idx="16">
                  <c:v>250000</c:v>
                </c:pt>
                <c:pt idx="17">
                  <c:v>185000</c:v>
                </c:pt>
                <c:pt idx="18">
                  <c:v>185000</c:v>
                </c:pt>
                <c:pt idx="19">
                  <c:v>157000</c:v>
                </c:pt>
                <c:pt idx="20">
                  <c:v>157000</c:v>
                </c:pt>
                <c:pt idx="21">
                  <c:v>157000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764-8E4A-A768-0F9E9DB74E46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Results'!$J$8:$J$68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467000</c:v>
                </c:pt>
                <c:pt idx="9">
                  <c:v>467000</c:v>
                </c:pt>
                <c:pt idx="10">
                  <c:v>402000</c:v>
                </c:pt>
                <c:pt idx="11">
                  <c:v>380000</c:v>
                </c:pt>
                <c:pt idx="12">
                  <c:v>193000</c:v>
                </c:pt>
                <c:pt idx="13">
                  <c:v>144000</c:v>
                </c:pt>
                <c:pt idx="14">
                  <c:v>48000</c:v>
                </c:pt>
                <c:pt idx="15">
                  <c:v>48000</c:v>
                </c:pt>
                <c:pt idx="16">
                  <c:v>48000</c:v>
                </c:pt>
                <c:pt idx="17">
                  <c:v>48000</c:v>
                </c:pt>
                <c:pt idx="18">
                  <c:v>48000</c:v>
                </c:pt>
                <c:pt idx="19">
                  <c:v>48000</c:v>
                </c:pt>
                <c:pt idx="20">
                  <c:v>48000</c:v>
                </c:pt>
                <c:pt idx="21">
                  <c:v>28000</c:v>
                </c:pt>
                <c:pt idx="22">
                  <c:v>28000</c:v>
                </c:pt>
                <c:pt idx="23">
                  <c:v>28000</c:v>
                </c:pt>
                <c:pt idx="24">
                  <c:v>28000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764-8E4A-A768-0F9E9DB74E46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Results'!$K$8:$K$68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467000</c:v>
                </c:pt>
                <c:pt idx="12">
                  <c:v>417000</c:v>
                </c:pt>
                <c:pt idx="13">
                  <c:v>417000</c:v>
                </c:pt>
                <c:pt idx="14">
                  <c:v>321000</c:v>
                </c:pt>
                <c:pt idx="15">
                  <c:v>321000</c:v>
                </c:pt>
                <c:pt idx="16">
                  <c:v>272000</c:v>
                </c:pt>
                <c:pt idx="17">
                  <c:v>252000</c:v>
                </c:pt>
                <c:pt idx="18">
                  <c:v>252000</c:v>
                </c:pt>
                <c:pt idx="19">
                  <c:v>252000</c:v>
                </c:pt>
                <c:pt idx="20">
                  <c:v>154000</c:v>
                </c:pt>
                <c:pt idx="21">
                  <c:v>154000</c:v>
                </c:pt>
                <c:pt idx="22">
                  <c:v>126000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764-8E4A-A768-0F9E9DB74E46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Results'!$L$8:$L$68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517000</c:v>
                </c:pt>
                <c:pt idx="5">
                  <c:v>517000</c:v>
                </c:pt>
                <c:pt idx="6">
                  <c:v>419000</c:v>
                </c:pt>
                <c:pt idx="7">
                  <c:v>369000</c:v>
                </c:pt>
                <c:pt idx="8">
                  <c:v>369000</c:v>
                </c:pt>
                <c:pt idx="9">
                  <c:v>369000</c:v>
                </c:pt>
                <c:pt idx="10">
                  <c:v>369000</c:v>
                </c:pt>
                <c:pt idx="11">
                  <c:v>369000</c:v>
                </c:pt>
                <c:pt idx="12">
                  <c:v>255000</c:v>
                </c:pt>
                <c:pt idx="13">
                  <c:v>157000</c:v>
                </c:pt>
                <c:pt idx="14">
                  <c:v>157000</c:v>
                </c:pt>
                <c:pt idx="15">
                  <c:v>157000</c:v>
                </c:pt>
                <c:pt idx="16">
                  <c:v>157000</c:v>
                </c:pt>
                <c:pt idx="17">
                  <c:v>118000</c:v>
                </c:pt>
                <c:pt idx="18">
                  <c:v>118000</c:v>
                </c:pt>
                <c:pt idx="19">
                  <c:v>118000</c:v>
                </c:pt>
                <c:pt idx="20">
                  <c:v>118000</c:v>
                </c:pt>
                <c:pt idx="21">
                  <c:v>118000</c:v>
                </c:pt>
                <c:pt idx="22">
                  <c:v>118000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22000</c:v>
                </c:pt>
                <c:pt idx="35">
                  <c:v>22000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764-8E4A-A768-0F9E9DB74E46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Results'!$M$8:$M$68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447000</c:v>
                </c:pt>
                <c:pt idx="8">
                  <c:v>382000</c:v>
                </c:pt>
                <c:pt idx="9">
                  <c:v>382000</c:v>
                </c:pt>
                <c:pt idx="10">
                  <c:v>354000</c:v>
                </c:pt>
                <c:pt idx="11">
                  <c:v>354000</c:v>
                </c:pt>
                <c:pt idx="12">
                  <c:v>304000</c:v>
                </c:pt>
                <c:pt idx="13">
                  <c:v>208000</c:v>
                </c:pt>
                <c:pt idx="14">
                  <c:v>208000</c:v>
                </c:pt>
                <c:pt idx="15">
                  <c:v>208000</c:v>
                </c:pt>
                <c:pt idx="16">
                  <c:v>208000</c:v>
                </c:pt>
                <c:pt idx="17">
                  <c:v>208000</c:v>
                </c:pt>
                <c:pt idx="18">
                  <c:v>159000</c:v>
                </c:pt>
                <c:pt idx="19">
                  <c:v>159000</c:v>
                </c:pt>
                <c:pt idx="20">
                  <c:v>159000</c:v>
                </c:pt>
                <c:pt idx="21">
                  <c:v>159000</c:v>
                </c:pt>
                <c:pt idx="22">
                  <c:v>61000</c:v>
                </c:pt>
                <c:pt idx="23">
                  <c:v>61000</c:v>
                </c:pt>
                <c:pt idx="24">
                  <c:v>61000</c:v>
                </c:pt>
                <c:pt idx="25">
                  <c:v>61000</c:v>
                </c:pt>
                <c:pt idx="26">
                  <c:v>61000</c:v>
                </c:pt>
                <c:pt idx="27">
                  <c:v>22000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764-8E4A-A768-0F9E9DB74E46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Results'!$N$8:$N$68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545000</c:v>
                </c:pt>
                <c:pt idx="12">
                  <c:v>495000</c:v>
                </c:pt>
                <c:pt idx="13">
                  <c:v>446000</c:v>
                </c:pt>
                <c:pt idx="14">
                  <c:v>446000</c:v>
                </c:pt>
                <c:pt idx="15">
                  <c:v>446000</c:v>
                </c:pt>
                <c:pt idx="16">
                  <c:v>350000</c:v>
                </c:pt>
                <c:pt idx="17">
                  <c:v>252000</c:v>
                </c:pt>
                <c:pt idx="18">
                  <c:v>252000</c:v>
                </c:pt>
                <c:pt idx="19">
                  <c:v>154000</c:v>
                </c:pt>
                <c:pt idx="20">
                  <c:v>126000</c:v>
                </c:pt>
                <c:pt idx="21">
                  <c:v>126000</c:v>
                </c:pt>
                <c:pt idx="22">
                  <c:v>87000</c:v>
                </c:pt>
                <c:pt idx="23">
                  <c:v>87000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764-8E4A-A768-0F9E9DB74E46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Results'!$O$8:$O$68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545000</c:v>
                </c:pt>
                <c:pt idx="7">
                  <c:v>545000</c:v>
                </c:pt>
                <c:pt idx="8">
                  <c:v>545000</c:v>
                </c:pt>
                <c:pt idx="9">
                  <c:v>545000</c:v>
                </c:pt>
                <c:pt idx="10">
                  <c:v>545000</c:v>
                </c:pt>
                <c:pt idx="11">
                  <c:v>467000</c:v>
                </c:pt>
                <c:pt idx="12">
                  <c:v>369000</c:v>
                </c:pt>
                <c:pt idx="13">
                  <c:v>369000</c:v>
                </c:pt>
                <c:pt idx="14">
                  <c:v>369000</c:v>
                </c:pt>
                <c:pt idx="15">
                  <c:v>369000</c:v>
                </c:pt>
                <c:pt idx="16">
                  <c:v>369000</c:v>
                </c:pt>
                <c:pt idx="17">
                  <c:v>319000</c:v>
                </c:pt>
                <c:pt idx="18">
                  <c:v>254000</c:v>
                </c:pt>
                <c:pt idx="19">
                  <c:v>158000</c:v>
                </c:pt>
                <c:pt idx="20">
                  <c:v>116000</c:v>
                </c:pt>
                <c:pt idx="21">
                  <c:v>67000</c:v>
                </c:pt>
                <c:pt idx="22">
                  <c:v>67000</c:v>
                </c:pt>
                <c:pt idx="23">
                  <c:v>67000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764-8E4A-A768-0F9E9DB74E46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Results'!$P$8:$P$68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447000</c:v>
                </c:pt>
                <c:pt idx="3">
                  <c:v>447000</c:v>
                </c:pt>
                <c:pt idx="4">
                  <c:v>447000</c:v>
                </c:pt>
                <c:pt idx="5">
                  <c:v>447000</c:v>
                </c:pt>
                <c:pt idx="6">
                  <c:v>447000</c:v>
                </c:pt>
                <c:pt idx="7">
                  <c:v>419000</c:v>
                </c:pt>
                <c:pt idx="8">
                  <c:v>419000</c:v>
                </c:pt>
                <c:pt idx="9">
                  <c:v>370000</c:v>
                </c:pt>
                <c:pt idx="10">
                  <c:v>370000</c:v>
                </c:pt>
                <c:pt idx="11">
                  <c:v>370000</c:v>
                </c:pt>
                <c:pt idx="12">
                  <c:v>370000</c:v>
                </c:pt>
                <c:pt idx="13">
                  <c:v>370000</c:v>
                </c:pt>
                <c:pt idx="14">
                  <c:v>320000</c:v>
                </c:pt>
                <c:pt idx="15">
                  <c:v>320000</c:v>
                </c:pt>
                <c:pt idx="16">
                  <c:v>320000</c:v>
                </c:pt>
                <c:pt idx="17">
                  <c:v>242000</c:v>
                </c:pt>
                <c:pt idx="18">
                  <c:v>242000</c:v>
                </c:pt>
                <c:pt idx="19">
                  <c:v>242000</c:v>
                </c:pt>
                <c:pt idx="20">
                  <c:v>242000</c:v>
                </c:pt>
                <c:pt idx="21">
                  <c:v>157000</c:v>
                </c:pt>
                <c:pt idx="22">
                  <c:v>61000</c:v>
                </c:pt>
                <c:pt idx="23">
                  <c:v>39000</c:v>
                </c:pt>
                <c:pt idx="24">
                  <c:v>39000</c:v>
                </c:pt>
                <c:pt idx="25">
                  <c:v>39000</c:v>
                </c:pt>
                <c:pt idx="26">
                  <c:v>39000</c:v>
                </c:pt>
                <c:pt idx="27">
                  <c:v>39000</c:v>
                </c:pt>
                <c:pt idx="28">
                  <c:v>39000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764-8E4A-A768-0F9E9DB74E46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Results'!$Q$8:$Q$68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506000</c:v>
                </c:pt>
                <c:pt idx="3">
                  <c:v>506000</c:v>
                </c:pt>
                <c:pt idx="4">
                  <c:v>506000</c:v>
                </c:pt>
                <c:pt idx="5">
                  <c:v>506000</c:v>
                </c:pt>
                <c:pt idx="6">
                  <c:v>506000</c:v>
                </c:pt>
                <c:pt idx="7">
                  <c:v>457000</c:v>
                </c:pt>
                <c:pt idx="8">
                  <c:v>457000</c:v>
                </c:pt>
                <c:pt idx="9">
                  <c:v>457000</c:v>
                </c:pt>
                <c:pt idx="10">
                  <c:v>457000</c:v>
                </c:pt>
                <c:pt idx="11">
                  <c:v>457000</c:v>
                </c:pt>
                <c:pt idx="12">
                  <c:v>457000</c:v>
                </c:pt>
                <c:pt idx="13">
                  <c:v>359000</c:v>
                </c:pt>
                <c:pt idx="14">
                  <c:v>359000</c:v>
                </c:pt>
                <c:pt idx="15">
                  <c:v>309000</c:v>
                </c:pt>
                <c:pt idx="16">
                  <c:v>287000</c:v>
                </c:pt>
                <c:pt idx="17">
                  <c:v>287000</c:v>
                </c:pt>
                <c:pt idx="18">
                  <c:v>222000</c:v>
                </c:pt>
                <c:pt idx="19">
                  <c:v>222000</c:v>
                </c:pt>
                <c:pt idx="20">
                  <c:v>202000</c:v>
                </c:pt>
                <c:pt idx="21">
                  <c:v>202000</c:v>
                </c:pt>
                <c:pt idx="22">
                  <c:v>106000</c:v>
                </c:pt>
                <c:pt idx="23">
                  <c:v>78000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764-8E4A-A768-0F9E9DB74E46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Results'!$R$8:$R$68</c:f>
              <c:numCache>
                <c:formatCode>_(* #,##0_);_(* \(#,##0\);_(* "-"??_);_(@_)</c:formatCode>
                <c:ptCount val="61"/>
                <c:pt idx="0">
                  <c:v>523000</c:v>
                </c:pt>
                <c:pt idx="1">
                  <c:v>523000</c:v>
                </c:pt>
                <c:pt idx="2">
                  <c:v>523000</c:v>
                </c:pt>
                <c:pt idx="3">
                  <c:v>523000</c:v>
                </c:pt>
                <c:pt idx="4">
                  <c:v>453000</c:v>
                </c:pt>
                <c:pt idx="5">
                  <c:v>453000</c:v>
                </c:pt>
                <c:pt idx="6">
                  <c:v>453000</c:v>
                </c:pt>
                <c:pt idx="7">
                  <c:v>453000</c:v>
                </c:pt>
                <c:pt idx="8">
                  <c:v>453000</c:v>
                </c:pt>
                <c:pt idx="9">
                  <c:v>453000</c:v>
                </c:pt>
                <c:pt idx="10">
                  <c:v>453000</c:v>
                </c:pt>
                <c:pt idx="11">
                  <c:v>453000</c:v>
                </c:pt>
                <c:pt idx="12">
                  <c:v>388000</c:v>
                </c:pt>
                <c:pt idx="13">
                  <c:v>349000</c:v>
                </c:pt>
                <c:pt idx="14">
                  <c:v>349000</c:v>
                </c:pt>
                <c:pt idx="15">
                  <c:v>349000</c:v>
                </c:pt>
                <c:pt idx="16">
                  <c:v>251000</c:v>
                </c:pt>
                <c:pt idx="17">
                  <c:v>251000</c:v>
                </c:pt>
                <c:pt idx="18">
                  <c:v>251000</c:v>
                </c:pt>
                <c:pt idx="19">
                  <c:v>251000</c:v>
                </c:pt>
                <c:pt idx="20">
                  <c:v>251000</c:v>
                </c:pt>
                <c:pt idx="21">
                  <c:v>251000</c:v>
                </c:pt>
                <c:pt idx="22">
                  <c:v>251000</c:v>
                </c:pt>
                <c:pt idx="23">
                  <c:v>77000</c:v>
                </c:pt>
                <c:pt idx="24">
                  <c:v>77000</c:v>
                </c:pt>
                <c:pt idx="25">
                  <c:v>28000</c:v>
                </c:pt>
                <c:pt idx="26">
                  <c:v>28000</c:v>
                </c:pt>
                <c:pt idx="27">
                  <c:v>28000</c:v>
                </c:pt>
                <c:pt idx="28">
                  <c:v>28000</c:v>
                </c:pt>
                <c:pt idx="29">
                  <c:v>28000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764-8E4A-A768-0F9E9DB74E46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Results'!$S$8:$S$68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517000</c:v>
                </c:pt>
                <c:pt idx="2">
                  <c:v>517000</c:v>
                </c:pt>
                <c:pt idx="3">
                  <c:v>517000</c:v>
                </c:pt>
                <c:pt idx="4">
                  <c:v>517000</c:v>
                </c:pt>
                <c:pt idx="5">
                  <c:v>517000</c:v>
                </c:pt>
                <c:pt idx="6">
                  <c:v>517000</c:v>
                </c:pt>
                <c:pt idx="7">
                  <c:v>468000</c:v>
                </c:pt>
                <c:pt idx="8">
                  <c:v>468000</c:v>
                </c:pt>
                <c:pt idx="9">
                  <c:v>468000</c:v>
                </c:pt>
                <c:pt idx="10">
                  <c:v>468000</c:v>
                </c:pt>
                <c:pt idx="11">
                  <c:v>468000</c:v>
                </c:pt>
                <c:pt idx="12">
                  <c:v>370000</c:v>
                </c:pt>
                <c:pt idx="13">
                  <c:v>370000</c:v>
                </c:pt>
                <c:pt idx="14">
                  <c:v>370000</c:v>
                </c:pt>
                <c:pt idx="15">
                  <c:v>370000</c:v>
                </c:pt>
                <c:pt idx="16">
                  <c:v>255000</c:v>
                </c:pt>
                <c:pt idx="17">
                  <c:v>216000</c:v>
                </c:pt>
                <c:pt idx="18">
                  <c:v>216000</c:v>
                </c:pt>
                <c:pt idx="19">
                  <c:v>216000</c:v>
                </c:pt>
                <c:pt idx="20">
                  <c:v>216000</c:v>
                </c:pt>
                <c:pt idx="21">
                  <c:v>216000</c:v>
                </c:pt>
                <c:pt idx="22">
                  <c:v>216000</c:v>
                </c:pt>
                <c:pt idx="23">
                  <c:v>216000</c:v>
                </c:pt>
                <c:pt idx="24">
                  <c:v>138000</c:v>
                </c:pt>
                <c:pt idx="25">
                  <c:v>42000</c:v>
                </c:pt>
                <c:pt idx="26">
                  <c:v>42000</c:v>
                </c:pt>
                <c:pt idx="27">
                  <c:v>42000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22000</c:v>
                </c:pt>
                <c:pt idx="33">
                  <c:v>22000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764-8E4A-A768-0F9E9DB74E46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Results'!$T$8:$T$68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545000</c:v>
                </c:pt>
                <c:pt idx="5">
                  <c:v>545000</c:v>
                </c:pt>
                <c:pt idx="6">
                  <c:v>467000</c:v>
                </c:pt>
                <c:pt idx="7">
                  <c:v>467000</c:v>
                </c:pt>
                <c:pt idx="8">
                  <c:v>467000</c:v>
                </c:pt>
                <c:pt idx="9">
                  <c:v>447000</c:v>
                </c:pt>
                <c:pt idx="10">
                  <c:v>398000</c:v>
                </c:pt>
                <c:pt idx="11">
                  <c:v>300000</c:v>
                </c:pt>
                <c:pt idx="12">
                  <c:v>300000</c:v>
                </c:pt>
                <c:pt idx="13">
                  <c:v>300000</c:v>
                </c:pt>
                <c:pt idx="14">
                  <c:v>300000</c:v>
                </c:pt>
                <c:pt idx="15">
                  <c:v>261000</c:v>
                </c:pt>
                <c:pt idx="16">
                  <c:v>261000</c:v>
                </c:pt>
                <c:pt idx="17">
                  <c:v>211000</c:v>
                </c:pt>
                <c:pt idx="18">
                  <c:v>211000</c:v>
                </c:pt>
                <c:pt idx="19">
                  <c:v>211000</c:v>
                </c:pt>
                <c:pt idx="20">
                  <c:v>183000</c:v>
                </c:pt>
                <c:pt idx="21">
                  <c:v>183000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118000</c:v>
                </c:pt>
                <c:pt idx="26">
                  <c:v>118000</c:v>
                </c:pt>
                <c:pt idx="27">
                  <c:v>118000</c:v>
                </c:pt>
                <c:pt idx="28">
                  <c:v>96000</c:v>
                </c:pt>
                <c:pt idx="29">
                  <c:v>96000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764-8E4A-A768-0F9E9DB74E46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Results'!$U$8:$U$68</c:f>
              <c:numCache>
                <c:formatCode>_(* #,##0_);_(* \(#,##0\);_(* "-"??_);_(@_)</c:formatCode>
                <c:ptCount val="61"/>
                <c:pt idx="0">
                  <c:v>449000</c:v>
                </c:pt>
                <c:pt idx="1">
                  <c:v>449000</c:v>
                </c:pt>
                <c:pt idx="2">
                  <c:v>399000</c:v>
                </c:pt>
                <c:pt idx="3">
                  <c:v>399000</c:v>
                </c:pt>
                <c:pt idx="4">
                  <c:v>399000</c:v>
                </c:pt>
                <c:pt idx="5">
                  <c:v>399000</c:v>
                </c:pt>
                <c:pt idx="6">
                  <c:v>399000</c:v>
                </c:pt>
                <c:pt idx="7">
                  <c:v>399000</c:v>
                </c:pt>
                <c:pt idx="8">
                  <c:v>379000</c:v>
                </c:pt>
                <c:pt idx="9">
                  <c:v>281000</c:v>
                </c:pt>
                <c:pt idx="10">
                  <c:v>281000</c:v>
                </c:pt>
                <c:pt idx="11">
                  <c:v>281000</c:v>
                </c:pt>
                <c:pt idx="12">
                  <c:v>281000</c:v>
                </c:pt>
                <c:pt idx="13">
                  <c:v>281000</c:v>
                </c:pt>
                <c:pt idx="14">
                  <c:v>281000</c:v>
                </c:pt>
                <c:pt idx="15">
                  <c:v>281000</c:v>
                </c:pt>
                <c:pt idx="16">
                  <c:v>281000</c:v>
                </c:pt>
                <c:pt idx="17">
                  <c:v>232000</c:v>
                </c:pt>
                <c:pt idx="18">
                  <c:v>154000</c:v>
                </c:pt>
                <c:pt idx="19">
                  <c:v>154000</c:v>
                </c:pt>
                <c:pt idx="20">
                  <c:v>154000</c:v>
                </c:pt>
                <c:pt idx="21">
                  <c:v>154000</c:v>
                </c:pt>
                <c:pt idx="22">
                  <c:v>154000</c:v>
                </c:pt>
                <c:pt idx="23">
                  <c:v>115000</c:v>
                </c:pt>
                <c:pt idx="24">
                  <c:v>93000</c:v>
                </c:pt>
                <c:pt idx="25">
                  <c:v>65000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764-8E4A-A768-0F9E9DB74E46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Results'!$V$8:$V$68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447000</c:v>
                </c:pt>
                <c:pt idx="2">
                  <c:v>447000</c:v>
                </c:pt>
                <c:pt idx="3">
                  <c:v>447000</c:v>
                </c:pt>
                <c:pt idx="4">
                  <c:v>447000</c:v>
                </c:pt>
                <c:pt idx="5">
                  <c:v>447000</c:v>
                </c:pt>
                <c:pt idx="6">
                  <c:v>447000</c:v>
                </c:pt>
                <c:pt idx="7">
                  <c:v>447000</c:v>
                </c:pt>
                <c:pt idx="8">
                  <c:v>419000</c:v>
                </c:pt>
                <c:pt idx="9">
                  <c:v>399000</c:v>
                </c:pt>
                <c:pt idx="10">
                  <c:v>399000</c:v>
                </c:pt>
                <c:pt idx="11">
                  <c:v>399000</c:v>
                </c:pt>
                <c:pt idx="12">
                  <c:v>399000</c:v>
                </c:pt>
                <c:pt idx="13">
                  <c:v>399000</c:v>
                </c:pt>
                <c:pt idx="14">
                  <c:v>349000</c:v>
                </c:pt>
                <c:pt idx="15">
                  <c:v>349000</c:v>
                </c:pt>
                <c:pt idx="16">
                  <c:v>310000</c:v>
                </c:pt>
                <c:pt idx="17">
                  <c:v>310000</c:v>
                </c:pt>
                <c:pt idx="18">
                  <c:v>310000</c:v>
                </c:pt>
                <c:pt idx="19">
                  <c:v>261000</c:v>
                </c:pt>
                <c:pt idx="20">
                  <c:v>261000</c:v>
                </c:pt>
                <c:pt idx="21">
                  <c:v>261000</c:v>
                </c:pt>
                <c:pt idx="22">
                  <c:v>261000</c:v>
                </c:pt>
                <c:pt idx="23">
                  <c:v>261000</c:v>
                </c:pt>
                <c:pt idx="24">
                  <c:v>165000</c:v>
                </c:pt>
                <c:pt idx="25">
                  <c:v>87000</c:v>
                </c:pt>
                <c:pt idx="26">
                  <c:v>87000</c:v>
                </c:pt>
                <c:pt idx="27">
                  <c:v>87000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764-8E4A-A768-0F9E9DB74E46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Results'!$W$8:$W$68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495000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446000</c:v>
                </c:pt>
                <c:pt idx="9">
                  <c:v>446000</c:v>
                </c:pt>
                <c:pt idx="10">
                  <c:v>446000</c:v>
                </c:pt>
                <c:pt idx="11">
                  <c:v>446000</c:v>
                </c:pt>
                <c:pt idx="12">
                  <c:v>446000</c:v>
                </c:pt>
                <c:pt idx="13">
                  <c:v>446000</c:v>
                </c:pt>
                <c:pt idx="14">
                  <c:v>368000</c:v>
                </c:pt>
                <c:pt idx="15">
                  <c:v>368000</c:v>
                </c:pt>
                <c:pt idx="16">
                  <c:v>368000</c:v>
                </c:pt>
                <c:pt idx="17">
                  <c:v>368000</c:v>
                </c:pt>
                <c:pt idx="18">
                  <c:v>368000</c:v>
                </c:pt>
                <c:pt idx="19">
                  <c:v>348000</c:v>
                </c:pt>
                <c:pt idx="20">
                  <c:v>250000</c:v>
                </c:pt>
                <c:pt idx="21">
                  <c:v>222000</c:v>
                </c:pt>
                <c:pt idx="22">
                  <c:v>183000</c:v>
                </c:pt>
                <c:pt idx="23">
                  <c:v>87000</c:v>
                </c:pt>
                <c:pt idx="24">
                  <c:v>87000</c:v>
                </c:pt>
                <c:pt idx="25">
                  <c:v>87000</c:v>
                </c:pt>
                <c:pt idx="26">
                  <c:v>87000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22000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764-8E4A-A768-0F9E9DB74E46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Results'!$X$8:$X$68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495000</c:v>
                </c:pt>
                <c:pt idx="2">
                  <c:v>495000</c:v>
                </c:pt>
                <c:pt idx="3">
                  <c:v>495000</c:v>
                </c:pt>
                <c:pt idx="4">
                  <c:v>495000</c:v>
                </c:pt>
                <c:pt idx="5">
                  <c:v>495000</c:v>
                </c:pt>
                <c:pt idx="6">
                  <c:v>495000</c:v>
                </c:pt>
                <c:pt idx="7">
                  <c:v>495000</c:v>
                </c:pt>
                <c:pt idx="8">
                  <c:v>436000</c:v>
                </c:pt>
                <c:pt idx="9">
                  <c:v>436000</c:v>
                </c:pt>
                <c:pt idx="10">
                  <c:v>436000</c:v>
                </c:pt>
                <c:pt idx="11">
                  <c:v>436000</c:v>
                </c:pt>
                <c:pt idx="12">
                  <c:v>436000</c:v>
                </c:pt>
                <c:pt idx="13">
                  <c:v>436000</c:v>
                </c:pt>
                <c:pt idx="14">
                  <c:v>436000</c:v>
                </c:pt>
                <c:pt idx="15">
                  <c:v>436000</c:v>
                </c:pt>
                <c:pt idx="16">
                  <c:v>358000</c:v>
                </c:pt>
                <c:pt idx="17">
                  <c:v>330000</c:v>
                </c:pt>
                <c:pt idx="18">
                  <c:v>232000</c:v>
                </c:pt>
                <c:pt idx="19">
                  <c:v>167000</c:v>
                </c:pt>
                <c:pt idx="20">
                  <c:v>118000</c:v>
                </c:pt>
                <c:pt idx="21">
                  <c:v>118000</c:v>
                </c:pt>
                <c:pt idx="22">
                  <c:v>118000</c:v>
                </c:pt>
                <c:pt idx="23">
                  <c:v>118000</c:v>
                </c:pt>
                <c:pt idx="24">
                  <c:v>118000</c:v>
                </c:pt>
                <c:pt idx="25">
                  <c:v>118000</c:v>
                </c:pt>
                <c:pt idx="26">
                  <c:v>118000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764-8E4A-A768-0F9E9DB74E46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Results'!$Y$8:$Y$68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467000</c:v>
                </c:pt>
                <c:pt idx="4">
                  <c:v>467000</c:v>
                </c:pt>
                <c:pt idx="5">
                  <c:v>467000</c:v>
                </c:pt>
                <c:pt idx="6">
                  <c:v>467000</c:v>
                </c:pt>
                <c:pt idx="7">
                  <c:v>467000</c:v>
                </c:pt>
                <c:pt idx="8">
                  <c:v>467000</c:v>
                </c:pt>
                <c:pt idx="9">
                  <c:v>467000</c:v>
                </c:pt>
                <c:pt idx="10">
                  <c:v>467000</c:v>
                </c:pt>
                <c:pt idx="11">
                  <c:v>467000</c:v>
                </c:pt>
                <c:pt idx="12">
                  <c:v>467000</c:v>
                </c:pt>
                <c:pt idx="13">
                  <c:v>467000</c:v>
                </c:pt>
                <c:pt idx="14">
                  <c:v>467000</c:v>
                </c:pt>
                <c:pt idx="15">
                  <c:v>467000</c:v>
                </c:pt>
                <c:pt idx="16">
                  <c:v>467000</c:v>
                </c:pt>
                <c:pt idx="17">
                  <c:v>467000</c:v>
                </c:pt>
                <c:pt idx="18">
                  <c:v>418000</c:v>
                </c:pt>
                <c:pt idx="19">
                  <c:v>368000</c:v>
                </c:pt>
                <c:pt idx="20">
                  <c:v>368000</c:v>
                </c:pt>
                <c:pt idx="21">
                  <c:v>272000</c:v>
                </c:pt>
                <c:pt idx="22">
                  <c:v>244000</c:v>
                </c:pt>
                <c:pt idx="23">
                  <c:v>205000</c:v>
                </c:pt>
                <c:pt idx="24">
                  <c:v>205000</c:v>
                </c:pt>
                <c:pt idx="25">
                  <c:v>205000</c:v>
                </c:pt>
                <c:pt idx="26">
                  <c:v>185000</c:v>
                </c:pt>
                <c:pt idx="27">
                  <c:v>87000</c:v>
                </c:pt>
                <c:pt idx="28">
                  <c:v>87000</c:v>
                </c:pt>
                <c:pt idx="29">
                  <c:v>87000</c:v>
                </c:pt>
                <c:pt idx="30">
                  <c:v>87000</c:v>
                </c:pt>
                <c:pt idx="31">
                  <c:v>87000</c:v>
                </c:pt>
                <c:pt idx="32">
                  <c:v>22000</c:v>
                </c:pt>
                <c:pt idx="33">
                  <c:v>22000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764-8E4A-A768-0F9E9DB74E46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Calculations!$A$6:$A$66</c:f>
              <c:numCache>
                <c:formatCode>General</c:formatCode>
                <c:ptCount val="61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  <c:pt idx="36">
                  <c:v>2061</c:v>
                </c:pt>
                <c:pt idx="37">
                  <c:v>2062</c:v>
                </c:pt>
                <c:pt idx="38">
                  <c:v>2063</c:v>
                </c:pt>
                <c:pt idx="39">
                  <c:v>2064</c:v>
                </c:pt>
                <c:pt idx="40">
                  <c:v>2065</c:v>
                </c:pt>
                <c:pt idx="41">
                  <c:v>2066</c:v>
                </c:pt>
                <c:pt idx="42">
                  <c:v>2067</c:v>
                </c:pt>
                <c:pt idx="43">
                  <c:v>2068</c:v>
                </c:pt>
                <c:pt idx="44">
                  <c:v>2069</c:v>
                </c:pt>
                <c:pt idx="45">
                  <c:v>2070</c:v>
                </c:pt>
                <c:pt idx="46">
                  <c:v>2071</c:v>
                </c:pt>
                <c:pt idx="47">
                  <c:v>2072</c:v>
                </c:pt>
                <c:pt idx="48">
                  <c:v>2073</c:v>
                </c:pt>
                <c:pt idx="49">
                  <c:v>2074</c:v>
                </c:pt>
                <c:pt idx="50">
                  <c:v>2075</c:v>
                </c:pt>
                <c:pt idx="51">
                  <c:v>2076</c:v>
                </c:pt>
                <c:pt idx="52">
                  <c:v>2077</c:v>
                </c:pt>
                <c:pt idx="53">
                  <c:v>2078</c:v>
                </c:pt>
                <c:pt idx="54">
                  <c:v>2079</c:v>
                </c:pt>
                <c:pt idx="55">
                  <c:v>2080</c:v>
                </c:pt>
                <c:pt idx="56">
                  <c:v>2081</c:v>
                </c:pt>
                <c:pt idx="57">
                  <c:v>2082</c:v>
                </c:pt>
                <c:pt idx="58">
                  <c:v>2083</c:v>
                </c:pt>
                <c:pt idx="59">
                  <c:v>2084</c:v>
                </c:pt>
                <c:pt idx="60">
                  <c:v>2085</c:v>
                </c:pt>
              </c:numCache>
            </c:numRef>
          </c:cat>
          <c:val>
            <c:numRef>
              <c:f>'Total Results'!$Z$8:$Z$68</c:f>
              <c:numCache>
                <c:formatCode>_(* #,##0_);_(* \(#,##0\);_(* "-"??_);_(@_)</c:formatCode>
                <c:ptCount val="61"/>
                <c:pt idx="0">
                  <c:v>545000</c:v>
                </c:pt>
                <c:pt idx="1">
                  <c:v>545000</c:v>
                </c:pt>
                <c:pt idx="2">
                  <c:v>545000</c:v>
                </c:pt>
                <c:pt idx="3">
                  <c:v>545000</c:v>
                </c:pt>
                <c:pt idx="4">
                  <c:v>449000</c:v>
                </c:pt>
                <c:pt idx="5">
                  <c:v>449000</c:v>
                </c:pt>
                <c:pt idx="6">
                  <c:v>449000</c:v>
                </c:pt>
                <c:pt idx="7">
                  <c:v>449000</c:v>
                </c:pt>
                <c:pt idx="8">
                  <c:v>449000</c:v>
                </c:pt>
                <c:pt idx="9">
                  <c:v>449000</c:v>
                </c:pt>
                <c:pt idx="10">
                  <c:v>449000</c:v>
                </c:pt>
                <c:pt idx="11">
                  <c:v>449000</c:v>
                </c:pt>
                <c:pt idx="12">
                  <c:v>400000</c:v>
                </c:pt>
                <c:pt idx="13">
                  <c:v>400000</c:v>
                </c:pt>
                <c:pt idx="14">
                  <c:v>322000</c:v>
                </c:pt>
                <c:pt idx="15">
                  <c:v>322000</c:v>
                </c:pt>
                <c:pt idx="16">
                  <c:v>322000</c:v>
                </c:pt>
                <c:pt idx="17">
                  <c:v>322000</c:v>
                </c:pt>
                <c:pt idx="18">
                  <c:v>322000</c:v>
                </c:pt>
                <c:pt idx="19">
                  <c:v>322000</c:v>
                </c:pt>
                <c:pt idx="20">
                  <c:v>322000</c:v>
                </c:pt>
                <c:pt idx="21">
                  <c:v>283000</c:v>
                </c:pt>
                <c:pt idx="22">
                  <c:v>283000</c:v>
                </c:pt>
                <c:pt idx="23">
                  <c:v>255000</c:v>
                </c:pt>
                <c:pt idx="24">
                  <c:v>235000</c:v>
                </c:pt>
                <c:pt idx="25">
                  <c:v>235000</c:v>
                </c:pt>
                <c:pt idx="26">
                  <c:v>235000</c:v>
                </c:pt>
                <c:pt idx="27">
                  <c:v>235000</c:v>
                </c:pt>
                <c:pt idx="28">
                  <c:v>137000</c:v>
                </c:pt>
                <c:pt idx="29">
                  <c:v>72000</c:v>
                </c:pt>
                <c:pt idx="30">
                  <c:v>72000</c:v>
                </c:pt>
                <c:pt idx="31">
                  <c:v>50000</c:v>
                </c:pt>
                <c:pt idx="32">
                  <c:v>50000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764-8E4A-A768-0F9E9DB74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1839903"/>
        <c:axId val="231841615"/>
      </c:lineChart>
      <c:catAx>
        <c:axId val="2318399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41615"/>
        <c:crosses val="autoZero"/>
        <c:auto val="1"/>
        <c:lblAlgn val="ctr"/>
        <c:lblOffset val="100"/>
        <c:noMultiLvlLbl val="0"/>
      </c:catAx>
      <c:valAx>
        <c:axId val="231841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839903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161017916238727"/>
          <c:y val="4.9735827685112449E-2"/>
          <c:w val="9.8727985088820414E-2"/>
          <c:h val="0.849484261103092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Liability Cash Flow</a:t>
            </a:r>
            <a:r>
              <a:rPr lang="en-US" b="1" baseline="0"/>
              <a:t> Projection at 12/31/2024 for payout annuities acquired from XYZ Life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479050288205484E-2"/>
          <c:y val="0.15935303381194998"/>
          <c:w val="0.91952094971179454"/>
          <c:h val="0.71884030788286291"/>
        </c:manualLayout>
      </c:layout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'Scenario Results'!$B$4:$B$64</c:f>
              <c:numCache>
                <c:formatCode>_(* #,##0_);_(* \(#,##0\);_(* "-"??_);_(@_)</c:formatCode>
                <c:ptCount val="61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A8-EB40-9425-699E87B33A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'Scenario Results'!$C$4:$C$64</c:f>
              <c:numCache>
                <c:formatCode>_(* #,##0_);_(* \(#,##0\);_(* "-"??_);_(@_)</c:formatCode>
                <c:ptCount val="61"/>
                <c:pt idx="0">
                  <c:v>98000</c:v>
                </c:pt>
                <c:pt idx="1">
                  <c:v>98000</c:v>
                </c:pt>
                <c:pt idx="2">
                  <c:v>98000</c:v>
                </c:pt>
                <c:pt idx="3">
                  <c:v>98000</c:v>
                </c:pt>
                <c:pt idx="4">
                  <c:v>98000</c:v>
                </c:pt>
                <c:pt idx="5">
                  <c:v>98000</c:v>
                </c:pt>
                <c:pt idx="6">
                  <c:v>98000</c:v>
                </c:pt>
                <c:pt idx="7">
                  <c:v>98000</c:v>
                </c:pt>
                <c:pt idx="8">
                  <c:v>98000</c:v>
                </c:pt>
                <c:pt idx="9">
                  <c:v>98000</c:v>
                </c:pt>
                <c:pt idx="10">
                  <c:v>98000</c:v>
                </c:pt>
                <c:pt idx="11">
                  <c:v>98000</c:v>
                </c:pt>
                <c:pt idx="12">
                  <c:v>98000</c:v>
                </c:pt>
                <c:pt idx="13">
                  <c:v>98000</c:v>
                </c:pt>
                <c:pt idx="14">
                  <c:v>98000</c:v>
                </c:pt>
                <c:pt idx="15">
                  <c:v>98000</c:v>
                </c:pt>
                <c:pt idx="16">
                  <c:v>98000</c:v>
                </c:pt>
                <c:pt idx="17">
                  <c:v>98000</c:v>
                </c:pt>
                <c:pt idx="18">
                  <c:v>98000</c:v>
                </c:pt>
                <c:pt idx="19">
                  <c:v>98000</c:v>
                </c:pt>
                <c:pt idx="20">
                  <c:v>98000</c:v>
                </c:pt>
                <c:pt idx="21">
                  <c:v>98000</c:v>
                </c:pt>
                <c:pt idx="22">
                  <c:v>98000</c:v>
                </c:pt>
                <c:pt idx="23">
                  <c:v>98000</c:v>
                </c:pt>
                <c:pt idx="24">
                  <c:v>98000</c:v>
                </c:pt>
                <c:pt idx="25">
                  <c:v>98000</c:v>
                </c:pt>
                <c:pt idx="26">
                  <c:v>98000</c:v>
                </c:pt>
                <c:pt idx="27">
                  <c:v>98000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A8-EB40-9425-699E87B33A59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'Scenario Results'!$D$4:$D$64</c:f>
              <c:numCache>
                <c:formatCode>_(* #,##0_);_(* \(#,##0\);_(* "-"??_);_(@_)</c:formatCode>
                <c:ptCount val="61"/>
                <c:pt idx="0">
                  <c:v>65000</c:v>
                </c:pt>
                <c:pt idx="1">
                  <c:v>65000</c:v>
                </c:pt>
                <c:pt idx="2">
                  <c:v>65000</c:v>
                </c:pt>
                <c:pt idx="3">
                  <c:v>65000</c:v>
                </c:pt>
                <c:pt idx="4">
                  <c:v>65000</c:v>
                </c:pt>
                <c:pt idx="5">
                  <c:v>65000</c:v>
                </c:pt>
                <c:pt idx="6">
                  <c:v>65000</c:v>
                </c:pt>
                <c:pt idx="7">
                  <c:v>65000</c:v>
                </c:pt>
                <c:pt idx="8">
                  <c:v>65000</c:v>
                </c:pt>
                <c:pt idx="9">
                  <c:v>65000</c:v>
                </c:pt>
                <c:pt idx="10">
                  <c:v>65000</c:v>
                </c:pt>
                <c:pt idx="11">
                  <c:v>65000</c:v>
                </c:pt>
                <c:pt idx="12">
                  <c:v>65000</c:v>
                </c:pt>
                <c:pt idx="13">
                  <c:v>65000</c:v>
                </c:pt>
                <c:pt idx="14">
                  <c:v>65000</c:v>
                </c:pt>
                <c:pt idx="15">
                  <c:v>65000</c:v>
                </c:pt>
                <c:pt idx="16">
                  <c:v>65000</c:v>
                </c:pt>
                <c:pt idx="17">
                  <c:v>65000</c:v>
                </c:pt>
                <c:pt idx="18">
                  <c:v>65000</c:v>
                </c:pt>
                <c:pt idx="19">
                  <c:v>65000</c:v>
                </c:pt>
                <c:pt idx="20">
                  <c:v>65000</c:v>
                </c:pt>
                <c:pt idx="21">
                  <c:v>65000</c:v>
                </c:pt>
                <c:pt idx="22">
                  <c:v>65000</c:v>
                </c:pt>
                <c:pt idx="23">
                  <c:v>65000</c:v>
                </c:pt>
                <c:pt idx="24">
                  <c:v>65000</c:v>
                </c:pt>
                <c:pt idx="25">
                  <c:v>65000</c:v>
                </c:pt>
                <c:pt idx="26">
                  <c:v>65000</c:v>
                </c:pt>
                <c:pt idx="27">
                  <c:v>65000</c:v>
                </c:pt>
                <c:pt idx="28">
                  <c:v>65000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A8-EB40-9425-699E87B33A59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'Scenario Results'!$E$4:$E$64</c:f>
              <c:numCache>
                <c:formatCode>_(* #,##0_);_(* \(#,##0\);_(* "-"??_);_(@_)</c:formatCode>
                <c:ptCount val="61"/>
                <c:pt idx="0">
                  <c:v>49000</c:v>
                </c:pt>
                <c:pt idx="1">
                  <c:v>49000</c:v>
                </c:pt>
                <c:pt idx="2">
                  <c:v>49000</c:v>
                </c:pt>
                <c:pt idx="3">
                  <c:v>49000</c:v>
                </c:pt>
                <c:pt idx="4">
                  <c:v>49000</c:v>
                </c:pt>
                <c:pt idx="5">
                  <c:v>49000</c:v>
                </c:pt>
                <c:pt idx="6">
                  <c:v>49000</c:v>
                </c:pt>
                <c:pt idx="7">
                  <c:v>49000</c:v>
                </c:pt>
                <c:pt idx="8">
                  <c:v>49000</c:v>
                </c:pt>
                <c:pt idx="9">
                  <c:v>49000</c:v>
                </c:pt>
                <c:pt idx="10">
                  <c:v>49000</c:v>
                </c:pt>
                <c:pt idx="11">
                  <c:v>49000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A-804B-BF98-9A73200D4EBF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'Scenario Results'!$F$4:$F$64</c:f>
              <c:numCache>
                <c:formatCode>_(* #,##0_);_(* \(#,##0\);_(* "-"??_);_(@_)</c:formatCode>
                <c:ptCount val="61"/>
                <c:pt idx="0">
                  <c:v>39000</c:v>
                </c:pt>
                <c:pt idx="1">
                  <c:v>39000</c:v>
                </c:pt>
                <c:pt idx="2">
                  <c:v>39000</c:v>
                </c:pt>
                <c:pt idx="3">
                  <c:v>39000</c:v>
                </c:pt>
                <c:pt idx="4">
                  <c:v>39000</c:v>
                </c:pt>
                <c:pt idx="5">
                  <c:v>39000</c:v>
                </c:pt>
                <c:pt idx="6">
                  <c:v>39000</c:v>
                </c:pt>
                <c:pt idx="7">
                  <c:v>39000</c:v>
                </c:pt>
                <c:pt idx="8">
                  <c:v>39000</c:v>
                </c:pt>
                <c:pt idx="9">
                  <c:v>39000</c:v>
                </c:pt>
                <c:pt idx="10">
                  <c:v>39000</c:v>
                </c:pt>
                <c:pt idx="11">
                  <c:v>39000</c:v>
                </c:pt>
                <c:pt idx="12">
                  <c:v>39000</c:v>
                </c:pt>
                <c:pt idx="13">
                  <c:v>39000</c:v>
                </c:pt>
                <c:pt idx="14">
                  <c:v>39000</c:v>
                </c:pt>
                <c:pt idx="15">
                  <c:v>39000</c:v>
                </c:pt>
                <c:pt idx="16">
                  <c:v>39000</c:v>
                </c:pt>
                <c:pt idx="17">
                  <c:v>39000</c:v>
                </c:pt>
                <c:pt idx="18">
                  <c:v>39000</c:v>
                </c:pt>
                <c:pt idx="19">
                  <c:v>39000</c:v>
                </c:pt>
                <c:pt idx="20">
                  <c:v>39000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A-804B-BF98-9A73200D4EB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'Scenario Results'!$G$4:$G$64</c:f>
              <c:numCache>
                <c:formatCode>_(* #,##0_);_(* \(#,##0\);_(* "-"??_);_(@_)</c:formatCode>
                <c:ptCount val="61"/>
                <c:pt idx="0">
                  <c:v>78000</c:v>
                </c:pt>
                <c:pt idx="1">
                  <c:v>78000</c:v>
                </c:pt>
                <c:pt idx="2">
                  <c:v>78000</c:v>
                </c:pt>
                <c:pt idx="3">
                  <c:v>78000</c:v>
                </c:pt>
                <c:pt idx="4">
                  <c:v>78000</c:v>
                </c:pt>
                <c:pt idx="5">
                  <c:v>78000</c:v>
                </c:pt>
                <c:pt idx="6">
                  <c:v>78000</c:v>
                </c:pt>
                <c:pt idx="7">
                  <c:v>78000</c:v>
                </c:pt>
                <c:pt idx="8">
                  <c:v>78000</c:v>
                </c:pt>
                <c:pt idx="9">
                  <c:v>78000</c:v>
                </c:pt>
                <c:pt idx="10">
                  <c:v>78000</c:v>
                </c:pt>
                <c:pt idx="11">
                  <c:v>78000</c:v>
                </c:pt>
                <c:pt idx="12">
                  <c:v>78000</c:v>
                </c:pt>
                <c:pt idx="13">
                  <c:v>78000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3A-804B-BF98-9A73200D4EBF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Results'!$H$4:$H$64</c:f>
              <c:numCache>
                <c:formatCode>_(* #,##0_);_(* \(#,##0\);_(* "-"??_);_(@_)</c:formatCode>
                <c:ptCount val="61"/>
                <c:pt idx="0">
                  <c:v>28000</c:v>
                </c:pt>
                <c:pt idx="1">
                  <c:v>28000</c:v>
                </c:pt>
                <c:pt idx="2">
                  <c:v>28000</c:v>
                </c:pt>
                <c:pt idx="3">
                  <c:v>28000</c:v>
                </c:pt>
                <c:pt idx="4">
                  <c:v>28000</c:v>
                </c:pt>
                <c:pt idx="5">
                  <c:v>28000</c:v>
                </c:pt>
                <c:pt idx="6">
                  <c:v>28000</c:v>
                </c:pt>
                <c:pt idx="7">
                  <c:v>28000</c:v>
                </c:pt>
                <c:pt idx="8">
                  <c:v>28000</c:v>
                </c:pt>
                <c:pt idx="9">
                  <c:v>28000</c:v>
                </c:pt>
                <c:pt idx="10">
                  <c:v>28000</c:v>
                </c:pt>
                <c:pt idx="11">
                  <c:v>28000</c:v>
                </c:pt>
                <c:pt idx="12">
                  <c:v>28000</c:v>
                </c:pt>
                <c:pt idx="13">
                  <c:v>28000</c:v>
                </c:pt>
                <c:pt idx="14">
                  <c:v>28000</c:v>
                </c:pt>
                <c:pt idx="15">
                  <c:v>28000</c:v>
                </c:pt>
                <c:pt idx="16">
                  <c:v>28000</c:v>
                </c:pt>
                <c:pt idx="17">
                  <c:v>28000</c:v>
                </c:pt>
                <c:pt idx="18">
                  <c:v>28000</c:v>
                </c:pt>
                <c:pt idx="19">
                  <c:v>28000</c:v>
                </c:pt>
                <c:pt idx="20">
                  <c:v>28000</c:v>
                </c:pt>
                <c:pt idx="21">
                  <c:v>28000</c:v>
                </c:pt>
                <c:pt idx="22">
                  <c:v>28000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3A-804B-BF98-9A73200D4EBF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Results'!$I$4:$I$64</c:f>
              <c:numCache>
                <c:formatCode>_(* #,##0_);_(* \(#,##0\);_(* "-"??_);_(@_)</c:formatCode>
                <c:ptCount val="61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  <c:pt idx="12">
                  <c:v>50000</c:v>
                </c:pt>
                <c:pt idx="13">
                  <c:v>50000</c:v>
                </c:pt>
                <c:pt idx="14">
                  <c:v>50000</c:v>
                </c:pt>
                <c:pt idx="15">
                  <c:v>50000</c:v>
                </c:pt>
                <c:pt idx="16">
                  <c:v>50000</c:v>
                </c:pt>
                <c:pt idx="17">
                  <c:v>50000</c:v>
                </c:pt>
                <c:pt idx="18">
                  <c:v>50000</c:v>
                </c:pt>
                <c:pt idx="19">
                  <c:v>50000</c:v>
                </c:pt>
                <c:pt idx="20">
                  <c:v>50000</c:v>
                </c:pt>
                <c:pt idx="21">
                  <c:v>50000</c:v>
                </c:pt>
                <c:pt idx="22">
                  <c:v>50000</c:v>
                </c:pt>
                <c:pt idx="23">
                  <c:v>50000</c:v>
                </c:pt>
                <c:pt idx="24">
                  <c:v>50000</c:v>
                </c:pt>
                <c:pt idx="25">
                  <c:v>50000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50000</c:v>
                </c:pt>
                <c:pt idx="30">
                  <c:v>50000</c:v>
                </c:pt>
                <c:pt idx="31">
                  <c:v>50000</c:v>
                </c:pt>
                <c:pt idx="32">
                  <c:v>50000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3A-804B-BF98-9A73200D4EBF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Results'!$J$4:$J$64</c:f>
              <c:numCache>
                <c:formatCode>_(* #,##0_);_(* \(#,##0\);_(* "-"??_);_(@_)</c:formatCode>
                <c:ptCount val="61"/>
                <c:pt idx="0">
                  <c:v>22000</c:v>
                </c:pt>
                <c:pt idx="1">
                  <c:v>22000</c:v>
                </c:pt>
                <c:pt idx="2">
                  <c:v>22000</c:v>
                </c:pt>
                <c:pt idx="3">
                  <c:v>22000</c:v>
                </c:pt>
                <c:pt idx="4">
                  <c:v>22000</c:v>
                </c:pt>
                <c:pt idx="5">
                  <c:v>22000</c:v>
                </c:pt>
                <c:pt idx="6">
                  <c:v>22000</c:v>
                </c:pt>
                <c:pt idx="7">
                  <c:v>22000</c:v>
                </c:pt>
                <c:pt idx="8">
                  <c:v>22000</c:v>
                </c:pt>
                <c:pt idx="9">
                  <c:v>22000</c:v>
                </c:pt>
                <c:pt idx="10">
                  <c:v>22000</c:v>
                </c:pt>
                <c:pt idx="11">
                  <c:v>22000</c:v>
                </c:pt>
                <c:pt idx="12">
                  <c:v>22000</c:v>
                </c:pt>
                <c:pt idx="13">
                  <c:v>22000</c:v>
                </c:pt>
                <c:pt idx="14">
                  <c:v>22000</c:v>
                </c:pt>
                <c:pt idx="15">
                  <c:v>22000</c:v>
                </c:pt>
                <c:pt idx="16">
                  <c:v>22000</c:v>
                </c:pt>
                <c:pt idx="17">
                  <c:v>22000</c:v>
                </c:pt>
                <c:pt idx="18">
                  <c:v>22000</c:v>
                </c:pt>
                <c:pt idx="19">
                  <c:v>22000</c:v>
                </c:pt>
                <c:pt idx="20">
                  <c:v>22000</c:v>
                </c:pt>
                <c:pt idx="21">
                  <c:v>22000</c:v>
                </c:pt>
                <c:pt idx="22">
                  <c:v>22000</c:v>
                </c:pt>
                <c:pt idx="23">
                  <c:v>22000</c:v>
                </c:pt>
                <c:pt idx="24">
                  <c:v>22000</c:v>
                </c:pt>
                <c:pt idx="25">
                  <c:v>22000</c:v>
                </c:pt>
                <c:pt idx="26">
                  <c:v>22000</c:v>
                </c:pt>
                <c:pt idx="27">
                  <c:v>22000</c:v>
                </c:pt>
                <c:pt idx="28">
                  <c:v>22000</c:v>
                </c:pt>
                <c:pt idx="29">
                  <c:v>22000</c:v>
                </c:pt>
                <c:pt idx="30">
                  <c:v>22000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3A-804B-BF98-9A73200D4EBF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'Scenario Results'!$K$4:$K$64</c:f>
              <c:numCache>
                <c:formatCode>_(* #,##0_);_(* \(#,##0\);_(* "-"??_);_(@_)</c:formatCode>
                <c:ptCount val="61"/>
                <c:pt idx="0">
                  <c:v>96000</c:v>
                </c:pt>
                <c:pt idx="1">
                  <c:v>96000</c:v>
                </c:pt>
                <c:pt idx="2">
                  <c:v>96000</c:v>
                </c:pt>
                <c:pt idx="3">
                  <c:v>96000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3A-804B-BF98-9A73200D4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08012095"/>
        <c:axId val="1925862816"/>
      </c:barChart>
      <c:catAx>
        <c:axId val="60801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862816"/>
        <c:crosses val="autoZero"/>
        <c:auto val="1"/>
        <c:lblAlgn val="ctr"/>
        <c:lblOffset val="100"/>
        <c:noMultiLvlLbl val="0"/>
      </c:catAx>
      <c:valAx>
        <c:axId val="19258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01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9308815211657867E-2"/>
          <c:y val="0.93203503494647444"/>
          <c:w val="0.83366634255463834"/>
          <c:h val="5.99519961320624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709083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04B549-DED8-4648-2EFE-1682FF1E39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</xdr:colOff>
          <xdr:row>5</xdr:row>
          <xdr:rowOff>38100</xdr:rowOff>
        </xdr:from>
        <xdr:to>
          <xdr:col>14</xdr:col>
          <xdr:colOff>723900</xdr:colOff>
          <xdr:row>7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158750</xdr:colOff>
      <xdr:row>2</xdr:row>
      <xdr:rowOff>190500</xdr:rowOff>
    </xdr:from>
    <xdr:to>
      <xdr:col>21</xdr:col>
      <xdr:colOff>596900</xdr:colOff>
      <xdr:row>30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0B3D32-DABA-74C6-9E86-1B3B4020D4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mort.soa.org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A4A3-7A93-9E4D-AF53-457E643A84FA}">
  <sheetPr codeName="Sheet1"/>
  <dimension ref="A1:D29"/>
  <sheetViews>
    <sheetView workbookViewId="0">
      <selection activeCell="I14" sqref="I14"/>
    </sheetView>
  </sheetViews>
  <sheetFormatPr defaultColWidth="10.6640625" defaultRowHeight="16" x14ac:dyDescent="0.4"/>
  <cols>
    <col min="1" max="3" width="3.5" customWidth="1"/>
  </cols>
  <sheetData>
    <row r="1" spans="1:3" x14ac:dyDescent="0.4">
      <c r="A1" t="s">
        <v>304</v>
      </c>
    </row>
    <row r="3" spans="1:3" x14ac:dyDescent="0.4">
      <c r="A3" t="s">
        <v>301</v>
      </c>
    </row>
    <row r="5" spans="1:3" x14ac:dyDescent="0.4">
      <c r="A5" t="s">
        <v>286</v>
      </c>
    </row>
    <row r="7" spans="1:3" x14ac:dyDescent="0.4">
      <c r="A7" t="s">
        <v>308</v>
      </c>
    </row>
    <row r="8" spans="1:3" x14ac:dyDescent="0.4">
      <c r="B8" t="s">
        <v>287</v>
      </c>
    </row>
    <row r="9" spans="1:3" x14ac:dyDescent="0.4">
      <c r="B9" t="s">
        <v>302</v>
      </c>
    </row>
    <row r="10" spans="1:3" x14ac:dyDescent="0.4">
      <c r="B10" t="s">
        <v>288</v>
      </c>
    </row>
    <row r="11" spans="1:3" x14ac:dyDescent="0.4">
      <c r="B11" t="s">
        <v>289</v>
      </c>
    </row>
    <row r="13" spans="1:3" x14ac:dyDescent="0.4">
      <c r="A13" t="s">
        <v>310</v>
      </c>
    </row>
    <row r="14" spans="1:3" x14ac:dyDescent="0.4">
      <c r="B14" t="s">
        <v>290</v>
      </c>
    </row>
    <row r="15" spans="1:3" x14ac:dyDescent="0.4">
      <c r="C15" t="s">
        <v>291</v>
      </c>
    </row>
    <row r="16" spans="1:3" x14ac:dyDescent="0.4">
      <c r="C16" t="s">
        <v>292</v>
      </c>
    </row>
    <row r="17" spans="2:4" x14ac:dyDescent="0.4">
      <c r="C17" t="s">
        <v>303</v>
      </c>
    </row>
    <row r="18" spans="2:4" x14ac:dyDescent="0.4">
      <c r="B18" t="s">
        <v>293</v>
      </c>
    </row>
    <row r="19" spans="2:4" x14ac:dyDescent="0.4">
      <c r="C19" t="s">
        <v>300</v>
      </c>
    </row>
    <row r="20" spans="2:4" x14ac:dyDescent="0.4">
      <c r="C20" t="s">
        <v>309</v>
      </c>
    </row>
    <row r="21" spans="2:4" x14ac:dyDescent="0.4">
      <c r="D21" t="s">
        <v>305</v>
      </c>
    </row>
    <row r="22" spans="2:4" x14ac:dyDescent="0.4">
      <c r="D22" t="s">
        <v>306</v>
      </c>
    </row>
    <row r="23" spans="2:4" x14ac:dyDescent="0.4">
      <c r="D23" t="s">
        <v>307</v>
      </c>
    </row>
    <row r="24" spans="2:4" x14ac:dyDescent="0.4">
      <c r="B24" t="s">
        <v>294</v>
      </c>
    </row>
    <row r="25" spans="2:4" x14ac:dyDescent="0.4">
      <c r="C25" t="s">
        <v>295</v>
      </c>
    </row>
    <row r="26" spans="2:4" x14ac:dyDescent="0.4">
      <c r="C26" t="s">
        <v>296</v>
      </c>
    </row>
    <row r="27" spans="2:4" x14ac:dyDescent="0.4">
      <c r="C27" t="s">
        <v>297</v>
      </c>
    </row>
    <row r="28" spans="2:4" x14ac:dyDescent="0.4">
      <c r="C28" t="s">
        <v>298</v>
      </c>
    </row>
    <row r="29" spans="2:4" x14ac:dyDescent="0.4">
      <c r="C29" t="s">
        <v>299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4478C-709A-FA4F-A7AF-704FF93342EF}">
  <sheetPr codeName="Sheet9"/>
  <dimension ref="J2:Q27"/>
  <sheetViews>
    <sheetView tabSelected="1" topLeftCell="B1" zoomScale="120" zoomScaleNormal="120" workbookViewId="0">
      <selection activeCell="R11" sqref="R11"/>
    </sheetView>
  </sheetViews>
  <sheetFormatPr defaultColWidth="10.83203125" defaultRowHeight="13" x14ac:dyDescent="0.3"/>
  <cols>
    <col min="1" max="9" width="10.83203125" style="25"/>
    <col min="10" max="10" width="12.5" style="25" customWidth="1"/>
    <col min="11" max="16384" width="10.83203125" style="25"/>
  </cols>
  <sheetData>
    <row r="2" spans="11:15" x14ac:dyDescent="0.3">
      <c r="K2" s="25" t="s">
        <v>281</v>
      </c>
      <c r="M2" s="26">
        <v>25</v>
      </c>
      <c r="N2" s="25" t="s">
        <v>282</v>
      </c>
    </row>
    <row r="3" spans="11:15" x14ac:dyDescent="0.3">
      <c r="K3" s="25" t="s">
        <v>283</v>
      </c>
      <c r="M3" s="26">
        <v>10</v>
      </c>
      <c r="N3" s="25" t="s">
        <v>284</v>
      </c>
    </row>
    <row r="4" spans="11:15" x14ac:dyDescent="0.3">
      <c r="K4" s="25" t="s">
        <v>285</v>
      </c>
      <c r="M4" s="27">
        <v>0.04</v>
      </c>
    </row>
    <row r="6" spans="11:15" x14ac:dyDescent="0.3">
      <c r="K6" s="35" t="s">
        <v>277</v>
      </c>
      <c r="L6" s="28">
        <f ca="1">NOW()</f>
        <v>46170.8961837963</v>
      </c>
    </row>
    <row r="7" spans="11:15" x14ac:dyDescent="0.3">
      <c r="K7" s="35" t="s">
        <v>278</v>
      </c>
      <c r="L7" s="28">
        <v>45869.791148379627</v>
      </c>
    </row>
    <row r="8" spans="11:15" x14ac:dyDescent="0.3">
      <c r="K8" s="35" t="s">
        <v>279</v>
      </c>
      <c r="L8" s="28">
        <v>45869.791373842592</v>
      </c>
    </row>
    <row r="9" spans="11:15" x14ac:dyDescent="0.3">
      <c r="K9" s="36" t="s">
        <v>280</v>
      </c>
      <c r="L9" s="37">
        <f>L8-L7</f>
        <v>2.2546296531800181E-4</v>
      </c>
    </row>
    <row r="11" spans="11:15" x14ac:dyDescent="0.3">
      <c r="K11" s="51" t="s">
        <v>276</v>
      </c>
      <c r="L11" s="52"/>
      <c r="M11" s="52"/>
      <c r="N11" s="52"/>
      <c r="O11" s="53"/>
    </row>
    <row r="12" spans="11:15" x14ac:dyDescent="0.3">
      <c r="K12" s="29" t="s">
        <v>270</v>
      </c>
      <c r="L12" s="30" t="s">
        <v>272</v>
      </c>
      <c r="M12" s="30" t="s">
        <v>271</v>
      </c>
      <c r="N12" s="30" t="s">
        <v>273</v>
      </c>
      <c r="O12" s="31" t="s">
        <v>274</v>
      </c>
    </row>
    <row r="13" spans="11:15" x14ac:dyDescent="0.3">
      <c r="K13" s="32">
        <f>AVERAGE('Total Results'!$B5:$Z5)</f>
        <v>6237839.4037884818</v>
      </c>
      <c r="L13" s="33">
        <f>MEDIAN('Total Results'!$B5:$Z5)</f>
        <v>6393318.6808940759</v>
      </c>
      <c r="M13" s="33">
        <f>_xlfn.STDEV.P('Total Results'!$B5:$Z5)</f>
        <v>613461.32060663076</v>
      </c>
      <c r="N13" s="33">
        <f>MIN('Total Results'!$B5:$Z5)</f>
        <v>4881770.4184879111</v>
      </c>
      <c r="O13" s="34">
        <f>MAX('Total Results'!$B5:$Z5)</f>
        <v>7311089.0164207686</v>
      </c>
    </row>
    <row r="17" spans="10:17" x14ac:dyDescent="0.3">
      <c r="J17" s="54" t="s">
        <v>326</v>
      </c>
      <c r="K17" s="55"/>
      <c r="L17" s="55"/>
      <c r="M17" s="55"/>
      <c r="N17" s="55"/>
      <c r="O17" s="55"/>
      <c r="P17" s="56"/>
    </row>
    <row r="18" spans="10:17" x14ac:dyDescent="0.3">
      <c r="J18" s="42"/>
      <c r="K18" s="30" t="s">
        <v>270</v>
      </c>
      <c r="L18" s="30" t="s">
        <v>272</v>
      </c>
      <c r="M18" s="30" t="s">
        <v>271</v>
      </c>
      <c r="N18" s="30" t="s">
        <v>273</v>
      </c>
      <c r="O18" s="30" t="s">
        <v>274</v>
      </c>
      <c r="P18" s="31" t="s">
        <v>317</v>
      </c>
    </row>
    <row r="19" spans="10:17" x14ac:dyDescent="0.3">
      <c r="J19" s="43" t="s">
        <v>316</v>
      </c>
      <c r="K19" s="44">
        <v>6237839.4037884818</v>
      </c>
      <c r="L19" s="44">
        <v>6393318.6808940759</v>
      </c>
      <c r="M19" s="44">
        <v>613461.32060663076</v>
      </c>
      <c r="N19" s="44">
        <v>4881770.4184879111</v>
      </c>
      <c r="O19" s="44">
        <v>7311089.0164207686</v>
      </c>
      <c r="P19" s="31">
        <v>19.600000000000001</v>
      </c>
      <c r="Q19" s="30"/>
    </row>
    <row r="20" spans="10:17" x14ac:dyDescent="0.3">
      <c r="J20" s="43" t="s">
        <v>318</v>
      </c>
      <c r="K20" s="44">
        <v>6148691.9507132806</v>
      </c>
      <c r="L20" s="44">
        <v>6393318.6808940759</v>
      </c>
      <c r="M20" s="44">
        <v>610030.21260285901</v>
      </c>
      <c r="N20" s="44">
        <v>4881770.4184879111</v>
      </c>
      <c r="O20" s="44">
        <v>7030853.9948557578</v>
      </c>
      <c r="P20" s="31">
        <v>11.7</v>
      </c>
      <c r="Q20" s="30"/>
    </row>
    <row r="21" spans="10:17" x14ac:dyDescent="0.3">
      <c r="J21" s="45" t="s">
        <v>325</v>
      </c>
      <c r="K21" s="46">
        <v>6146848.5769831184</v>
      </c>
      <c r="L21" s="46">
        <v>6261117.5607823404</v>
      </c>
      <c r="M21" s="46">
        <v>1123057.9511552397</v>
      </c>
      <c r="N21" s="46">
        <v>3986943.6252070921</v>
      </c>
      <c r="O21" s="46">
        <v>8623069.4028560799</v>
      </c>
      <c r="P21" s="48">
        <v>8.3000000000000007</v>
      </c>
      <c r="Q21" s="30"/>
    </row>
    <row r="22" spans="10:17" x14ac:dyDescent="0.3">
      <c r="J22" s="50"/>
      <c r="K22" s="50"/>
      <c r="L22" s="50"/>
      <c r="M22" s="50"/>
      <c r="N22" s="50"/>
      <c r="O22" s="50"/>
      <c r="P22" s="50"/>
    </row>
    <row r="23" spans="10:17" x14ac:dyDescent="0.3">
      <c r="J23" s="54" t="s">
        <v>327</v>
      </c>
      <c r="K23" s="55"/>
      <c r="L23" s="55"/>
      <c r="M23" s="55"/>
      <c r="N23" s="55"/>
      <c r="O23" s="55"/>
      <c r="P23" s="56"/>
    </row>
    <row r="24" spans="10:17" x14ac:dyDescent="0.3">
      <c r="J24" s="42"/>
      <c r="K24" s="30" t="s">
        <v>270</v>
      </c>
      <c r="L24" s="30" t="s">
        <v>272</v>
      </c>
      <c r="M24" s="30" t="s">
        <v>271</v>
      </c>
      <c r="N24" s="30" t="s">
        <v>273</v>
      </c>
      <c r="O24" s="30" t="s">
        <v>274</v>
      </c>
      <c r="P24" s="31" t="s">
        <v>317</v>
      </c>
    </row>
    <row r="25" spans="10:17" x14ac:dyDescent="0.3">
      <c r="J25" s="43" t="s">
        <v>316</v>
      </c>
      <c r="K25" s="44">
        <f>K19-K$19</f>
        <v>0</v>
      </c>
      <c r="L25" s="44">
        <f t="shared" ref="L25:P25" si="0">L19-L$19</f>
        <v>0</v>
      </c>
      <c r="M25" s="44">
        <f t="shared" si="0"/>
        <v>0</v>
      </c>
      <c r="N25" s="44">
        <f t="shared" si="0"/>
        <v>0</v>
      </c>
      <c r="O25" s="44">
        <f t="shared" si="0"/>
        <v>0</v>
      </c>
      <c r="P25" s="47">
        <f t="shared" si="0"/>
        <v>0</v>
      </c>
    </row>
    <row r="26" spans="10:17" x14ac:dyDescent="0.3">
      <c r="J26" s="43" t="s">
        <v>318</v>
      </c>
      <c r="K26" s="44">
        <f t="shared" ref="K26:P27" si="1">K20-K$19</f>
        <v>-89147.453075201251</v>
      </c>
      <c r="L26" s="44">
        <f t="shared" si="1"/>
        <v>0</v>
      </c>
      <c r="M26" s="44">
        <f t="shared" si="1"/>
        <v>-3431.1080037717475</v>
      </c>
      <c r="N26" s="44">
        <f t="shared" si="1"/>
        <v>0</v>
      </c>
      <c r="O26" s="44">
        <f t="shared" si="1"/>
        <v>-280235.02156501077</v>
      </c>
      <c r="P26" s="47">
        <f>P20-P$19</f>
        <v>-7.9000000000000021</v>
      </c>
    </row>
    <row r="27" spans="10:17" x14ac:dyDescent="0.3">
      <c r="J27" s="45" t="s">
        <v>325</v>
      </c>
      <c r="K27" s="46">
        <f t="shared" si="1"/>
        <v>-90990.826805363409</v>
      </c>
      <c r="L27" s="46">
        <f t="shared" si="1"/>
        <v>-132201.12011173554</v>
      </c>
      <c r="M27" s="46">
        <f t="shared" si="1"/>
        <v>509596.63054860895</v>
      </c>
      <c r="N27" s="46">
        <f t="shared" si="1"/>
        <v>-894826.79328081897</v>
      </c>
      <c r="O27" s="46">
        <f t="shared" si="1"/>
        <v>1311980.3864353113</v>
      </c>
      <c r="P27" s="49">
        <f t="shared" si="1"/>
        <v>-11.3</v>
      </c>
    </row>
  </sheetData>
  <mergeCells count="3">
    <mergeCell ref="K11:O11"/>
    <mergeCell ref="J17:P17"/>
    <mergeCell ref="J23:P23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nnuity_Model">
                <anchor moveWithCells="1" sizeWithCells="1">
                  <from>
                    <xdr:col>13</xdr:col>
                    <xdr:colOff>25400</xdr:colOff>
                    <xdr:row>5</xdr:row>
                    <xdr:rowOff>38100</xdr:rowOff>
                  </from>
                  <to>
                    <xdr:col>14</xdr:col>
                    <xdr:colOff>723900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8EA38-A152-4D43-9A2D-7827E32EB940}">
  <sheetPr codeName="Sheet2"/>
  <dimension ref="A1:G160"/>
  <sheetViews>
    <sheetView workbookViewId="0">
      <pane xSplit="1" ySplit="7" topLeftCell="B63" activePane="bottomRight" state="frozen"/>
      <selection pane="topRight" activeCell="B1" sqref="B1"/>
      <selection pane="bottomLeft" activeCell="A8" sqref="A8"/>
      <selection pane="bottomRight" activeCell="C5" sqref="C5"/>
    </sheetView>
  </sheetViews>
  <sheetFormatPr defaultColWidth="10.6640625" defaultRowHeight="16" x14ac:dyDescent="0.4"/>
  <cols>
    <col min="1" max="1" width="15.83203125" customWidth="1"/>
    <col min="2" max="2" width="13.5" style="4" customWidth="1"/>
    <col min="3" max="3" width="10.83203125" style="4"/>
  </cols>
  <sheetData>
    <row r="1" spans="1:7" x14ac:dyDescent="0.4">
      <c r="A1" t="s">
        <v>0</v>
      </c>
      <c r="B1" s="7" t="s">
        <v>248</v>
      </c>
    </row>
    <row r="2" spans="1:7" x14ac:dyDescent="0.4">
      <c r="A2" t="s">
        <v>1</v>
      </c>
      <c r="B2" s="4" t="s">
        <v>2</v>
      </c>
    </row>
    <row r="3" spans="1:7" x14ac:dyDescent="0.4">
      <c r="A3" t="s">
        <v>212</v>
      </c>
      <c r="B3" s="39">
        <v>45657</v>
      </c>
    </row>
    <row r="4" spans="1:7" x14ac:dyDescent="0.4">
      <c r="B4" s="5"/>
    </row>
    <row r="5" spans="1:7" x14ac:dyDescent="0.4">
      <c r="B5" s="6" t="s">
        <v>213</v>
      </c>
      <c r="C5" s="8" t="s">
        <v>214</v>
      </c>
    </row>
    <row r="6" spans="1:7" x14ac:dyDescent="0.4">
      <c r="B6" s="57" t="s">
        <v>215</v>
      </c>
      <c r="C6" s="58"/>
      <c r="D6" s="57" t="s">
        <v>1</v>
      </c>
      <c r="E6" s="58"/>
    </row>
    <row r="7" spans="1:7" x14ac:dyDescent="0.4">
      <c r="A7" t="s">
        <v>107</v>
      </c>
      <c r="B7" s="4" t="s">
        <v>108</v>
      </c>
      <c r="C7" s="4" t="s">
        <v>109</v>
      </c>
      <c r="D7" s="4" t="s">
        <v>108</v>
      </c>
      <c r="E7" s="4" t="s">
        <v>109</v>
      </c>
    </row>
    <row r="8" spans="1:7" x14ac:dyDescent="0.4">
      <c r="A8" s="2">
        <f>A6</f>
        <v>0</v>
      </c>
      <c r="B8" s="9" t="s">
        <v>3</v>
      </c>
      <c r="C8" s="9" t="s">
        <v>110</v>
      </c>
      <c r="D8" s="3" t="s">
        <v>216</v>
      </c>
      <c r="E8" s="3" t="s">
        <v>216</v>
      </c>
      <c r="G8" s="9"/>
    </row>
    <row r="9" spans="1:7" x14ac:dyDescent="0.4">
      <c r="A9" s="2">
        <f>1+A8</f>
        <v>1</v>
      </c>
      <c r="B9" s="9" t="s">
        <v>4</v>
      </c>
      <c r="C9" s="9" t="s">
        <v>111</v>
      </c>
      <c r="D9" s="3" t="s">
        <v>216</v>
      </c>
      <c r="E9" s="3" t="s">
        <v>216</v>
      </c>
      <c r="G9" s="9"/>
    </row>
    <row r="10" spans="1:7" x14ac:dyDescent="0.4">
      <c r="A10" s="2">
        <f t="shared" ref="A10:A73" si="0">1+A9</f>
        <v>2</v>
      </c>
      <c r="B10" s="9" t="s">
        <v>5</v>
      </c>
      <c r="C10" s="9" t="s">
        <v>112</v>
      </c>
      <c r="D10" s="3" t="s">
        <v>216</v>
      </c>
      <c r="E10" s="3" t="s">
        <v>216</v>
      </c>
      <c r="G10" s="9"/>
    </row>
    <row r="11" spans="1:7" x14ac:dyDescent="0.4">
      <c r="A11" s="2">
        <f t="shared" si="0"/>
        <v>3</v>
      </c>
      <c r="B11" s="9" t="s">
        <v>6</v>
      </c>
      <c r="C11" s="9" t="s">
        <v>113</v>
      </c>
      <c r="D11" s="3" t="s">
        <v>216</v>
      </c>
      <c r="E11" s="3" t="s">
        <v>216</v>
      </c>
    </row>
    <row r="12" spans="1:7" x14ac:dyDescent="0.4">
      <c r="A12" s="2">
        <f t="shared" si="0"/>
        <v>4</v>
      </c>
      <c r="B12" s="9" t="s">
        <v>7</v>
      </c>
      <c r="C12" s="9" t="s">
        <v>114</v>
      </c>
      <c r="D12" s="3" t="s">
        <v>216</v>
      </c>
      <c r="E12" s="3" t="s">
        <v>216</v>
      </c>
    </row>
    <row r="13" spans="1:7" x14ac:dyDescent="0.4">
      <c r="A13" s="2">
        <f t="shared" si="0"/>
        <v>5</v>
      </c>
      <c r="B13" s="9" t="s">
        <v>8</v>
      </c>
      <c r="C13" s="9" t="s">
        <v>115</v>
      </c>
      <c r="D13" s="3" t="s">
        <v>216</v>
      </c>
      <c r="E13" s="3" t="s">
        <v>216</v>
      </c>
    </row>
    <row r="14" spans="1:7" x14ac:dyDescent="0.4">
      <c r="A14" s="2">
        <f t="shared" si="0"/>
        <v>6</v>
      </c>
      <c r="B14" s="9" t="s">
        <v>9</v>
      </c>
      <c r="C14" s="9" t="s">
        <v>116</v>
      </c>
      <c r="D14" s="3" t="s">
        <v>216</v>
      </c>
      <c r="E14" s="3" t="s">
        <v>216</v>
      </c>
    </row>
    <row r="15" spans="1:7" x14ac:dyDescent="0.4">
      <c r="A15" s="2">
        <f t="shared" si="0"/>
        <v>7</v>
      </c>
      <c r="B15" s="9" t="s">
        <v>10</v>
      </c>
      <c r="C15" s="9" t="s">
        <v>117</v>
      </c>
      <c r="D15" s="3" t="s">
        <v>216</v>
      </c>
      <c r="E15" s="3" t="s">
        <v>216</v>
      </c>
    </row>
    <row r="16" spans="1:7" x14ac:dyDescent="0.4">
      <c r="A16" s="2">
        <f t="shared" si="0"/>
        <v>8</v>
      </c>
      <c r="B16" s="9" t="s">
        <v>11</v>
      </c>
      <c r="C16" s="9" t="s">
        <v>118</v>
      </c>
      <c r="D16" s="3" t="s">
        <v>216</v>
      </c>
      <c r="E16" s="3" t="s">
        <v>216</v>
      </c>
    </row>
    <row r="17" spans="1:5" x14ac:dyDescent="0.4">
      <c r="A17" s="2">
        <f t="shared" si="0"/>
        <v>9</v>
      </c>
      <c r="B17" s="9" t="s">
        <v>12</v>
      </c>
      <c r="C17" s="10">
        <v>9.7999999999999997E-5</v>
      </c>
      <c r="D17" s="3" t="s">
        <v>216</v>
      </c>
      <c r="E17" s="3" t="s">
        <v>216</v>
      </c>
    </row>
    <row r="18" spans="1:5" x14ac:dyDescent="0.4">
      <c r="A18" s="2">
        <f t="shared" si="0"/>
        <v>10</v>
      </c>
      <c r="B18" s="9" t="s">
        <v>13</v>
      </c>
      <c r="C18" s="10">
        <v>9.3999999999999994E-5</v>
      </c>
      <c r="D18" s="3" t="s">
        <v>216</v>
      </c>
      <c r="E18" s="3" t="s">
        <v>216</v>
      </c>
    </row>
    <row r="19" spans="1:5" x14ac:dyDescent="0.4">
      <c r="A19" s="2">
        <f t="shared" si="0"/>
        <v>11</v>
      </c>
      <c r="B19" s="9" t="s">
        <v>14</v>
      </c>
      <c r="C19" s="10">
        <v>9.6000000000000002E-5</v>
      </c>
      <c r="D19" s="3" t="s">
        <v>216</v>
      </c>
      <c r="E19" s="3" t="s">
        <v>216</v>
      </c>
    </row>
    <row r="20" spans="1:5" x14ac:dyDescent="0.4">
      <c r="A20" s="2">
        <f t="shared" si="0"/>
        <v>12</v>
      </c>
      <c r="B20" s="9" t="s">
        <v>15</v>
      </c>
      <c r="C20" s="9" t="s">
        <v>118</v>
      </c>
      <c r="D20" s="3" t="s">
        <v>216</v>
      </c>
      <c r="E20" s="3" t="s">
        <v>216</v>
      </c>
    </row>
    <row r="21" spans="1:5" x14ac:dyDescent="0.4">
      <c r="A21" s="2">
        <f t="shared" si="0"/>
        <v>13</v>
      </c>
      <c r="B21" s="9" t="s">
        <v>16</v>
      </c>
      <c r="C21" s="9" t="s">
        <v>119</v>
      </c>
      <c r="D21" s="3" t="s">
        <v>216</v>
      </c>
      <c r="E21" s="3" t="s">
        <v>216</v>
      </c>
    </row>
    <row r="22" spans="1:5" x14ac:dyDescent="0.4">
      <c r="A22" s="2">
        <f t="shared" si="0"/>
        <v>14</v>
      </c>
      <c r="B22" s="9" t="s">
        <v>17</v>
      </c>
      <c r="C22" s="9" t="s">
        <v>120</v>
      </c>
      <c r="D22" s="3" t="s">
        <v>216</v>
      </c>
      <c r="E22" s="3" t="s">
        <v>216</v>
      </c>
    </row>
    <row r="23" spans="1:5" x14ac:dyDescent="0.4">
      <c r="A23" s="2">
        <f t="shared" si="0"/>
        <v>15</v>
      </c>
      <c r="B23" s="9" t="s">
        <v>18</v>
      </c>
      <c r="C23" s="9" t="s">
        <v>121</v>
      </c>
      <c r="D23" s="3" t="s">
        <v>216</v>
      </c>
      <c r="E23" s="3" t="s">
        <v>216</v>
      </c>
    </row>
    <row r="24" spans="1:5" x14ac:dyDescent="0.4">
      <c r="A24" s="2">
        <f t="shared" si="0"/>
        <v>16</v>
      </c>
      <c r="B24" s="9" t="s">
        <v>19</v>
      </c>
      <c r="C24" s="9" t="s">
        <v>113</v>
      </c>
      <c r="D24" s="3" t="s">
        <v>216</v>
      </c>
      <c r="E24" s="3" t="s">
        <v>216</v>
      </c>
    </row>
    <row r="25" spans="1:5" x14ac:dyDescent="0.4">
      <c r="A25" s="2">
        <f t="shared" si="0"/>
        <v>17</v>
      </c>
      <c r="B25" s="9" t="s">
        <v>20</v>
      </c>
      <c r="C25" s="9" t="s">
        <v>122</v>
      </c>
      <c r="D25" s="3" t="s">
        <v>216</v>
      </c>
      <c r="E25" s="3" t="s">
        <v>216</v>
      </c>
    </row>
    <row r="26" spans="1:5" x14ac:dyDescent="0.4">
      <c r="A26" s="2">
        <f t="shared" si="0"/>
        <v>18</v>
      </c>
      <c r="B26" s="9" t="s">
        <v>21</v>
      </c>
      <c r="C26" s="9" t="s">
        <v>123</v>
      </c>
      <c r="D26" s="3" t="s">
        <v>216</v>
      </c>
      <c r="E26" s="3" t="s">
        <v>216</v>
      </c>
    </row>
    <row r="27" spans="1:5" x14ac:dyDescent="0.4">
      <c r="A27" s="2">
        <f t="shared" si="0"/>
        <v>19</v>
      </c>
      <c r="B27" s="9" t="s">
        <v>22</v>
      </c>
      <c r="C27" s="9" t="s">
        <v>124</v>
      </c>
      <c r="D27" s="3" t="s">
        <v>216</v>
      </c>
      <c r="E27" s="3" t="s">
        <v>216</v>
      </c>
    </row>
    <row r="28" spans="1:5" x14ac:dyDescent="0.4">
      <c r="A28" s="2">
        <f t="shared" si="0"/>
        <v>20</v>
      </c>
      <c r="B28" s="9" t="s">
        <v>23</v>
      </c>
      <c r="C28" s="9" t="s">
        <v>125</v>
      </c>
      <c r="D28" s="3" t="s">
        <v>216</v>
      </c>
      <c r="E28" s="3" t="s">
        <v>216</v>
      </c>
    </row>
    <row r="29" spans="1:5" x14ac:dyDescent="0.4">
      <c r="A29" s="2">
        <f t="shared" si="0"/>
        <v>21</v>
      </c>
      <c r="B29" s="9" t="s">
        <v>24</v>
      </c>
      <c r="C29" s="9" t="s">
        <v>126</v>
      </c>
      <c r="D29" s="3" t="s">
        <v>216</v>
      </c>
      <c r="E29" s="3" t="s">
        <v>216</v>
      </c>
    </row>
    <row r="30" spans="1:5" x14ac:dyDescent="0.4">
      <c r="A30" s="2">
        <f t="shared" si="0"/>
        <v>22</v>
      </c>
      <c r="B30" s="9" t="s">
        <v>25</v>
      </c>
      <c r="C30" s="9" t="s">
        <v>127</v>
      </c>
      <c r="D30" s="3" t="s">
        <v>216</v>
      </c>
      <c r="E30" s="3" t="s">
        <v>216</v>
      </c>
    </row>
    <row r="31" spans="1:5" x14ac:dyDescent="0.4">
      <c r="A31" s="2">
        <f t="shared" si="0"/>
        <v>23</v>
      </c>
      <c r="B31" s="9" t="s">
        <v>26</v>
      </c>
      <c r="C31" s="9" t="s">
        <v>128</v>
      </c>
      <c r="D31" s="3" t="s">
        <v>216</v>
      </c>
      <c r="E31" s="3" t="s">
        <v>216</v>
      </c>
    </row>
    <row r="32" spans="1:5" x14ac:dyDescent="0.4">
      <c r="A32" s="2">
        <f t="shared" si="0"/>
        <v>24</v>
      </c>
      <c r="B32" s="9" t="s">
        <v>27</v>
      </c>
      <c r="C32" s="9" t="s">
        <v>129</v>
      </c>
      <c r="D32" s="3" t="s">
        <v>216</v>
      </c>
      <c r="E32" s="3" t="s">
        <v>216</v>
      </c>
    </row>
    <row r="33" spans="1:5" x14ac:dyDescent="0.4">
      <c r="A33" s="2">
        <f t="shared" si="0"/>
        <v>25</v>
      </c>
      <c r="B33" s="9" t="s">
        <v>28</v>
      </c>
      <c r="C33" s="9" t="s">
        <v>130</v>
      </c>
      <c r="D33" s="3" t="s">
        <v>216</v>
      </c>
      <c r="E33" s="3" t="s">
        <v>216</v>
      </c>
    </row>
    <row r="34" spans="1:5" x14ac:dyDescent="0.4">
      <c r="A34" s="2">
        <f t="shared" si="0"/>
        <v>26</v>
      </c>
      <c r="B34" s="9" t="s">
        <v>29</v>
      </c>
      <c r="C34" s="9" t="s">
        <v>131</v>
      </c>
      <c r="D34" s="3" t="s">
        <v>216</v>
      </c>
      <c r="E34" s="3" t="s">
        <v>216</v>
      </c>
    </row>
    <row r="35" spans="1:5" x14ac:dyDescent="0.4">
      <c r="A35" s="2">
        <f t="shared" si="0"/>
        <v>27</v>
      </c>
      <c r="B35" s="9" t="s">
        <v>30</v>
      </c>
      <c r="C35" s="9" t="s">
        <v>132</v>
      </c>
      <c r="D35" s="3" t="s">
        <v>216</v>
      </c>
      <c r="E35" s="3" t="s">
        <v>216</v>
      </c>
    </row>
    <row r="36" spans="1:5" x14ac:dyDescent="0.4">
      <c r="A36" s="2">
        <f t="shared" si="0"/>
        <v>28</v>
      </c>
      <c r="B36" s="9" t="s">
        <v>31</v>
      </c>
      <c r="C36" s="9" t="s">
        <v>133</v>
      </c>
      <c r="D36" s="3" t="s">
        <v>216</v>
      </c>
      <c r="E36" s="3" t="s">
        <v>216</v>
      </c>
    </row>
    <row r="37" spans="1:5" x14ac:dyDescent="0.4">
      <c r="A37" s="2">
        <f t="shared" si="0"/>
        <v>29</v>
      </c>
      <c r="B37" s="9" t="s">
        <v>32</v>
      </c>
      <c r="C37" s="9" t="s">
        <v>134</v>
      </c>
      <c r="D37" s="3" t="s">
        <v>216</v>
      </c>
      <c r="E37" s="3" t="s">
        <v>216</v>
      </c>
    </row>
    <row r="38" spans="1:5" x14ac:dyDescent="0.4">
      <c r="A38" s="2">
        <f t="shared" si="0"/>
        <v>30</v>
      </c>
      <c r="B38" s="9" t="s">
        <v>33</v>
      </c>
      <c r="C38" s="9" t="s">
        <v>135</v>
      </c>
      <c r="D38" s="3" t="s">
        <v>216</v>
      </c>
      <c r="E38" s="3" t="s">
        <v>216</v>
      </c>
    </row>
    <row r="39" spans="1:5" x14ac:dyDescent="0.4">
      <c r="A39" s="2">
        <f t="shared" si="0"/>
        <v>31</v>
      </c>
      <c r="B39" s="9" t="s">
        <v>34</v>
      </c>
      <c r="C39" s="9" t="s">
        <v>136</v>
      </c>
      <c r="D39" s="3" t="s">
        <v>216</v>
      </c>
      <c r="E39" s="3" t="s">
        <v>216</v>
      </c>
    </row>
    <row r="40" spans="1:5" x14ac:dyDescent="0.4">
      <c r="A40" s="2">
        <f t="shared" si="0"/>
        <v>32</v>
      </c>
      <c r="B40" s="9" t="s">
        <v>35</v>
      </c>
      <c r="C40" s="9" t="s">
        <v>137</v>
      </c>
      <c r="D40" s="3" t="s">
        <v>216</v>
      </c>
      <c r="E40" s="3" t="s">
        <v>216</v>
      </c>
    </row>
    <row r="41" spans="1:5" x14ac:dyDescent="0.4">
      <c r="A41" s="2">
        <f t="shared" si="0"/>
        <v>33</v>
      </c>
      <c r="B41" s="9" t="s">
        <v>36</v>
      </c>
      <c r="C41" s="9" t="s">
        <v>138</v>
      </c>
      <c r="D41" s="3" t="s">
        <v>216</v>
      </c>
      <c r="E41" s="3" t="s">
        <v>216</v>
      </c>
    </row>
    <row r="42" spans="1:5" x14ac:dyDescent="0.4">
      <c r="A42" s="2">
        <f t="shared" si="0"/>
        <v>34</v>
      </c>
      <c r="B42" s="9" t="s">
        <v>32</v>
      </c>
      <c r="C42" s="9" t="s">
        <v>139</v>
      </c>
      <c r="D42" s="3" t="s">
        <v>216</v>
      </c>
      <c r="E42" s="3" t="s">
        <v>216</v>
      </c>
    </row>
    <row r="43" spans="1:5" x14ac:dyDescent="0.4">
      <c r="A43" s="2">
        <f t="shared" si="0"/>
        <v>35</v>
      </c>
      <c r="B43" s="9" t="s">
        <v>31</v>
      </c>
      <c r="C43" s="9" t="s">
        <v>140</v>
      </c>
      <c r="D43" s="3" t="s">
        <v>216</v>
      </c>
      <c r="E43" s="3" t="s">
        <v>216</v>
      </c>
    </row>
    <row r="44" spans="1:5" x14ac:dyDescent="0.4">
      <c r="A44" s="2">
        <f t="shared" si="0"/>
        <v>36</v>
      </c>
      <c r="B44" s="9" t="s">
        <v>37</v>
      </c>
      <c r="C44" s="9" t="s">
        <v>141</v>
      </c>
      <c r="D44" s="3" t="s">
        <v>216</v>
      </c>
      <c r="E44" s="3" t="s">
        <v>216</v>
      </c>
    </row>
    <row r="45" spans="1:5" x14ac:dyDescent="0.4">
      <c r="A45" s="2">
        <f t="shared" si="0"/>
        <v>37</v>
      </c>
      <c r="B45" s="9" t="s">
        <v>38</v>
      </c>
      <c r="C45" s="9" t="s">
        <v>142</v>
      </c>
      <c r="D45" s="3" t="s">
        <v>216</v>
      </c>
      <c r="E45" s="3" t="s">
        <v>216</v>
      </c>
    </row>
    <row r="46" spans="1:5" x14ac:dyDescent="0.4">
      <c r="A46" s="2">
        <f t="shared" si="0"/>
        <v>38</v>
      </c>
      <c r="B46" s="9" t="s">
        <v>39</v>
      </c>
      <c r="C46" s="9" t="s">
        <v>143</v>
      </c>
      <c r="D46" s="3" t="s">
        <v>216</v>
      </c>
      <c r="E46" s="3" t="s">
        <v>216</v>
      </c>
    </row>
    <row r="47" spans="1:5" x14ac:dyDescent="0.4">
      <c r="A47" s="2">
        <f t="shared" si="0"/>
        <v>39</v>
      </c>
      <c r="B47" s="9" t="s">
        <v>40</v>
      </c>
      <c r="C47" s="9" t="s">
        <v>144</v>
      </c>
      <c r="D47" s="3" t="s">
        <v>216</v>
      </c>
      <c r="E47" s="3" t="s">
        <v>216</v>
      </c>
    </row>
    <row r="48" spans="1:5" x14ac:dyDescent="0.4">
      <c r="A48" s="2">
        <f t="shared" si="0"/>
        <v>40</v>
      </c>
      <c r="B48" s="9" t="s">
        <v>41</v>
      </c>
      <c r="C48" s="9" t="s">
        <v>145</v>
      </c>
      <c r="D48" s="3" t="s">
        <v>216</v>
      </c>
      <c r="E48" s="3" t="s">
        <v>216</v>
      </c>
    </row>
    <row r="49" spans="1:5" x14ac:dyDescent="0.4">
      <c r="A49" s="2">
        <f t="shared" si="0"/>
        <v>41</v>
      </c>
      <c r="B49" s="9" t="s">
        <v>42</v>
      </c>
      <c r="C49" s="9" t="s">
        <v>146</v>
      </c>
      <c r="D49" s="3" t="s">
        <v>216</v>
      </c>
      <c r="E49" s="3" t="s">
        <v>216</v>
      </c>
    </row>
    <row r="50" spans="1:5" x14ac:dyDescent="0.4">
      <c r="A50" s="2">
        <f t="shared" si="0"/>
        <v>42</v>
      </c>
      <c r="B50" s="9" t="s">
        <v>43</v>
      </c>
      <c r="C50" s="9" t="s">
        <v>147</v>
      </c>
      <c r="D50" s="3" t="s">
        <v>216</v>
      </c>
      <c r="E50" s="3" t="s">
        <v>216</v>
      </c>
    </row>
    <row r="51" spans="1:5" x14ac:dyDescent="0.4">
      <c r="A51" s="2">
        <f t="shared" si="0"/>
        <v>43</v>
      </c>
      <c r="B51" s="9" t="s">
        <v>44</v>
      </c>
      <c r="C51" s="9" t="s">
        <v>148</v>
      </c>
      <c r="D51" s="3" t="s">
        <v>216</v>
      </c>
      <c r="E51" s="3" t="s">
        <v>216</v>
      </c>
    </row>
    <row r="52" spans="1:5" x14ac:dyDescent="0.4">
      <c r="A52" s="2">
        <f t="shared" si="0"/>
        <v>44</v>
      </c>
      <c r="B52" s="9" t="s">
        <v>45</v>
      </c>
      <c r="C52" s="9" t="s">
        <v>149</v>
      </c>
      <c r="D52" s="3" t="s">
        <v>216</v>
      </c>
      <c r="E52" s="3" t="s">
        <v>216</v>
      </c>
    </row>
    <row r="53" spans="1:5" x14ac:dyDescent="0.4">
      <c r="A53" s="2">
        <f t="shared" si="0"/>
        <v>45</v>
      </c>
      <c r="B53" s="9" t="s">
        <v>46</v>
      </c>
      <c r="C53" s="9" t="s">
        <v>150</v>
      </c>
      <c r="D53" s="3" t="s">
        <v>216</v>
      </c>
      <c r="E53" s="3" t="s">
        <v>216</v>
      </c>
    </row>
    <row r="54" spans="1:5" x14ac:dyDescent="0.4">
      <c r="A54" s="2">
        <f t="shared" si="0"/>
        <v>46</v>
      </c>
      <c r="B54" s="9" t="s">
        <v>47</v>
      </c>
      <c r="C54" s="9" t="s">
        <v>151</v>
      </c>
      <c r="D54" s="3" t="s">
        <v>216</v>
      </c>
      <c r="E54" s="3" t="s">
        <v>216</v>
      </c>
    </row>
    <row r="55" spans="1:5" x14ac:dyDescent="0.4">
      <c r="A55" s="2">
        <f t="shared" si="0"/>
        <v>47</v>
      </c>
      <c r="B55" s="9" t="s">
        <v>48</v>
      </c>
      <c r="C55" s="9" t="s">
        <v>152</v>
      </c>
      <c r="D55" s="3" t="s">
        <v>216</v>
      </c>
      <c r="E55" s="3" t="s">
        <v>216</v>
      </c>
    </row>
    <row r="56" spans="1:5" x14ac:dyDescent="0.4">
      <c r="A56" s="2">
        <f t="shared" si="0"/>
        <v>48</v>
      </c>
      <c r="B56" s="9" t="s">
        <v>49</v>
      </c>
      <c r="C56" s="9" t="s">
        <v>153</v>
      </c>
      <c r="D56" s="3" t="s">
        <v>216</v>
      </c>
      <c r="E56" s="3" t="s">
        <v>216</v>
      </c>
    </row>
    <row r="57" spans="1:5" x14ac:dyDescent="0.4">
      <c r="A57" s="2">
        <f t="shared" si="0"/>
        <v>49</v>
      </c>
      <c r="B57" s="9" t="s">
        <v>50</v>
      </c>
      <c r="C57" s="9" t="s">
        <v>154</v>
      </c>
      <c r="D57" s="3" t="s">
        <v>216</v>
      </c>
      <c r="E57" s="3" t="s">
        <v>216</v>
      </c>
    </row>
    <row r="58" spans="1:5" x14ac:dyDescent="0.4">
      <c r="A58" s="2">
        <f t="shared" si="0"/>
        <v>50</v>
      </c>
      <c r="B58" s="9" t="s">
        <v>51</v>
      </c>
      <c r="C58" s="9" t="s">
        <v>155</v>
      </c>
      <c r="D58" s="3" t="s">
        <v>216</v>
      </c>
      <c r="E58" s="3" t="s">
        <v>216</v>
      </c>
    </row>
    <row r="59" spans="1:5" x14ac:dyDescent="0.4">
      <c r="A59" s="2">
        <f t="shared" si="0"/>
        <v>51</v>
      </c>
      <c r="B59" s="9" t="s">
        <v>52</v>
      </c>
      <c r="C59" s="9" t="s">
        <v>156</v>
      </c>
      <c r="D59" s="3" t="s">
        <v>217</v>
      </c>
      <c r="E59" s="3" t="s">
        <v>216</v>
      </c>
    </row>
    <row r="60" spans="1:5" x14ac:dyDescent="0.4">
      <c r="A60" s="2">
        <f t="shared" si="0"/>
        <v>52</v>
      </c>
      <c r="B60" s="9" t="s">
        <v>53</v>
      </c>
      <c r="C60" s="9" t="s">
        <v>157</v>
      </c>
      <c r="D60" s="3" t="s">
        <v>217</v>
      </c>
      <c r="E60" s="3" t="s">
        <v>217</v>
      </c>
    </row>
    <row r="61" spans="1:5" x14ac:dyDescent="0.4">
      <c r="A61" s="2">
        <f t="shared" si="0"/>
        <v>53</v>
      </c>
      <c r="B61" s="9" t="s">
        <v>54</v>
      </c>
      <c r="C61" s="9" t="s">
        <v>158</v>
      </c>
      <c r="D61" s="3" t="s">
        <v>218</v>
      </c>
      <c r="E61" s="3" t="s">
        <v>217</v>
      </c>
    </row>
    <row r="62" spans="1:5" x14ac:dyDescent="0.4">
      <c r="A62" s="2">
        <f t="shared" si="0"/>
        <v>54</v>
      </c>
      <c r="B62" s="9" t="s">
        <v>55</v>
      </c>
      <c r="C62" s="9" t="s">
        <v>159</v>
      </c>
      <c r="D62" s="3" t="s">
        <v>218</v>
      </c>
      <c r="E62" s="3" t="s">
        <v>217</v>
      </c>
    </row>
    <row r="63" spans="1:5" x14ac:dyDescent="0.4">
      <c r="A63" s="2">
        <f t="shared" si="0"/>
        <v>55</v>
      </c>
      <c r="B63" s="9" t="s">
        <v>56</v>
      </c>
      <c r="C63" s="9" t="s">
        <v>160</v>
      </c>
      <c r="D63" s="3" t="s">
        <v>219</v>
      </c>
      <c r="E63" s="3" t="s">
        <v>218</v>
      </c>
    </row>
    <row r="64" spans="1:5" x14ac:dyDescent="0.4">
      <c r="A64" s="2">
        <f t="shared" si="0"/>
        <v>56</v>
      </c>
      <c r="B64" s="9" t="s">
        <v>57</v>
      </c>
      <c r="C64" s="9" t="s">
        <v>161</v>
      </c>
      <c r="D64" s="3" t="s">
        <v>219</v>
      </c>
      <c r="E64" s="3" t="s">
        <v>218</v>
      </c>
    </row>
    <row r="65" spans="1:5" x14ac:dyDescent="0.4">
      <c r="A65" s="2">
        <f t="shared" si="0"/>
        <v>57</v>
      </c>
      <c r="B65" s="9" t="s">
        <v>58</v>
      </c>
      <c r="C65" s="9" t="s">
        <v>162</v>
      </c>
      <c r="D65" s="3" t="s">
        <v>220</v>
      </c>
      <c r="E65" s="3" t="s">
        <v>218</v>
      </c>
    </row>
    <row r="66" spans="1:5" x14ac:dyDescent="0.4">
      <c r="A66" s="2">
        <f t="shared" si="0"/>
        <v>58</v>
      </c>
      <c r="B66" s="9" t="s">
        <v>59</v>
      </c>
      <c r="C66" s="14" t="s">
        <v>163</v>
      </c>
      <c r="D66" s="3" t="s">
        <v>220</v>
      </c>
      <c r="E66" s="3" t="s">
        <v>218</v>
      </c>
    </row>
    <row r="67" spans="1:5" x14ac:dyDescent="0.4">
      <c r="A67" s="2">
        <f t="shared" si="0"/>
        <v>59</v>
      </c>
      <c r="B67" s="9" t="s">
        <v>60</v>
      </c>
      <c r="C67" s="9" t="s">
        <v>164</v>
      </c>
      <c r="D67" s="3" t="s">
        <v>221</v>
      </c>
      <c r="E67" s="3" t="s">
        <v>219</v>
      </c>
    </row>
    <row r="68" spans="1:5" x14ac:dyDescent="0.4">
      <c r="A68" s="2">
        <f t="shared" si="0"/>
        <v>60</v>
      </c>
      <c r="B68" s="9" t="s">
        <v>61</v>
      </c>
      <c r="C68" s="9" t="s">
        <v>165</v>
      </c>
      <c r="D68" s="3" t="s">
        <v>221</v>
      </c>
      <c r="E68" s="3" t="s">
        <v>219</v>
      </c>
    </row>
    <row r="69" spans="1:5" x14ac:dyDescent="0.4">
      <c r="A69" s="2">
        <f t="shared" si="0"/>
        <v>61</v>
      </c>
      <c r="B69" s="9" t="s">
        <v>62</v>
      </c>
      <c r="C69" s="9" t="s">
        <v>166</v>
      </c>
      <c r="D69" s="3" t="s">
        <v>221</v>
      </c>
      <c r="E69" s="3" t="s">
        <v>219</v>
      </c>
    </row>
    <row r="70" spans="1:5" x14ac:dyDescent="0.4">
      <c r="A70" s="2">
        <f t="shared" si="0"/>
        <v>62</v>
      </c>
      <c r="B70" s="9" t="s">
        <v>63</v>
      </c>
      <c r="C70" s="9" t="s">
        <v>167</v>
      </c>
      <c r="D70" s="3" t="s">
        <v>221</v>
      </c>
      <c r="E70" s="3" t="s">
        <v>219</v>
      </c>
    </row>
    <row r="71" spans="1:5" x14ac:dyDescent="0.4">
      <c r="A71" s="2">
        <f t="shared" si="0"/>
        <v>63</v>
      </c>
      <c r="B71" s="9" t="s">
        <v>64</v>
      </c>
      <c r="C71" s="9" t="s">
        <v>168</v>
      </c>
      <c r="D71" s="3" t="s">
        <v>221</v>
      </c>
      <c r="E71" s="3" t="s">
        <v>219</v>
      </c>
    </row>
    <row r="72" spans="1:5" x14ac:dyDescent="0.4">
      <c r="A72" s="2">
        <f t="shared" si="0"/>
        <v>64</v>
      </c>
      <c r="B72" s="9" t="s">
        <v>65</v>
      </c>
      <c r="C72" s="9" t="s">
        <v>169</v>
      </c>
      <c r="D72" s="3" t="s">
        <v>221</v>
      </c>
      <c r="E72" s="3" t="s">
        <v>219</v>
      </c>
    </row>
    <row r="73" spans="1:5" x14ac:dyDescent="0.4">
      <c r="A73" s="2">
        <f t="shared" si="0"/>
        <v>65</v>
      </c>
      <c r="B73" s="9" t="s">
        <v>66</v>
      </c>
      <c r="C73" s="9" t="s">
        <v>170</v>
      </c>
      <c r="D73" s="3" t="s">
        <v>221</v>
      </c>
      <c r="E73" s="3" t="s">
        <v>219</v>
      </c>
    </row>
    <row r="74" spans="1:5" x14ac:dyDescent="0.4">
      <c r="A74" s="2">
        <f t="shared" ref="A74:A129" si="1">1+A73</f>
        <v>66</v>
      </c>
      <c r="B74" s="9" t="s">
        <v>67</v>
      </c>
      <c r="C74" s="9" t="s">
        <v>171</v>
      </c>
      <c r="D74" s="3" t="s">
        <v>221</v>
      </c>
      <c r="E74" s="3" t="s">
        <v>219</v>
      </c>
    </row>
    <row r="75" spans="1:5" x14ac:dyDescent="0.4">
      <c r="A75" s="2">
        <f t="shared" si="1"/>
        <v>67</v>
      </c>
      <c r="B75" s="9" t="s">
        <v>68</v>
      </c>
      <c r="C75" s="9" t="s">
        <v>172</v>
      </c>
      <c r="D75" s="3" t="s">
        <v>221</v>
      </c>
      <c r="E75" s="3" t="s">
        <v>219</v>
      </c>
    </row>
    <row r="76" spans="1:5" x14ac:dyDescent="0.4">
      <c r="A76" s="2">
        <f t="shared" si="1"/>
        <v>68</v>
      </c>
      <c r="B76" s="9" t="s">
        <v>69</v>
      </c>
      <c r="C76" s="9" t="s">
        <v>173</v>
      </c>
      <c r="D76" s="3" t="s">
        <v>221</v>
      </c>
      <c r="E76" s="3" t="s">
        <v>219</v>
      </c>
    </row>
    <row r="77" spans="1:5" x14ac:dyDescent="0.4">
      <c r="A77" s="2">
        <f t="shared" si="1"/>
        <v>69</v>
      </c>
      <c r="B77" s="9" t="s">
        <v>70</v>
      </c>
      <c r="C77" s="9" t="s">
        <v>174</v>
      </c>
      <c r="D77" s="3" t="s">
        <v>221</v>
      </c>
      <c r="E77" s="3" t="s">
        <v>219</v>
      </c>
    </row>
    <row r="78" spans="1:5" x14ac:dyDescent="0.4">
      <c r="A78" s="2">
        <f t="shared" si="1"/>
        <v>70</v>
      </c>
      <c r="B78" s="9" t="s">
        <v>71</v>
      </c>
      <c r="C78" s="9" t="s">
        <v>175</v>
      </c>
      <c r="D78" s="3" t="s">
        <v>221</v>
      </c>
      <c r="E78" s="3" t="s">
        <v>219</v>
      </c>
    </row>
    <row r="79" spans="1:5" x14ac:dyDescent="0.4">
      <c r="A79" s="2">
        <f t="shared" si="1"/>
        <v>71</v>
      </c>
      <c r="B79" s="9" t="s">
        <v>72</v>
      </c>
      <c r="C79" s="9" t="s">
        <v>176</v>
      </c>
      <c r="D79" s="3" t="s">
        <v>221</v>
      </c>
      <c r="E79" s="3" t="s">
        <v>219</v>
      </c>
    </row>
    <row r="80" spans="1:5" x14ac:dyDescent="0.4">
      <c r="A80" s="2">
        <f t="shared" si="1"/>
        <v>72</v>
      </c>
      <c r="B80" s="9" t="s">
        <v>73</v>
      </c>
      <c r="C80" s="9" t="s">
        <v>177</v>
      </c>
      <c r="D80" s="3" t="s">
        <v>221</v>
      </c>
      <c r="E80" s="3" t="s">
        <v>219</v>
      </c>
    </row>
    <row r="81" spans="1:5" x14ac:dyDescent="0.4">
      <c r="A81" s="2">
        <f t="shared" si="1"/>
        <v>73</v>
      </c>
      <c r="B81" s="9" t="s">
        <v>74</v>
      </c>
      <c r="C81" s="9" t="s">
        <v>178</v>
      </c>
      <c r="D81" s="3" t="s">
        <v>221</v>
      </c>
      <c r="E81" s="3" t="s">
        <v>219</v>
      </c>
    </row>
    <row r="82" spans="1:5" x14ac:dyDescent="0.4">
      <c r="A82" s="2">
        <f t="shared" si="1"/>
        <v>74</v>
      </c>
      <c r="B82" s="9" t="s">
        <v>75</v>
      </c>
      <c r="C82" s="9" t="s">
        <v>179</v>
      </c>
      <c r="D82" s="3" t="s">
        <v>221</v>
      </c>
      <c r="E82" s="3" t="s">
        <v>219</v>
      </c>
    </row>
    <row r="83" spans="1:5" x14ac:dyDescent="0.4">
      <c r="A83" s="2">
        <f t="shared" si="1"/>
        <v>75</v>
      </c>
      <c r="B83" s="9" t="s">
        <v>76</v>
      </c>
      <c r="C83" s="9" t="s">
        <v>180</v>
      </c>
      <c r="D83" s="3" t="s">
        <v>221</v>
      </c>
      <c r="E83" s="3" t="s">
        <v>219</v>
      </c>
    </row>
    <row r="84" spans="1:5" x14ac:dyDescent="0.4">
      <c r="A84" s="2">
        <f t="shared" si="1"/>
        <v>76</v>
      </c>
      <c r="B84" s="9" t="s">
        <v>77</v>
      </c>
      <c r="C84" s="9" t="s">
        <v>181</v>
      </c>
      <c r="D84" s="3" t="s">
        <v>221</v>
      </c>
      <c r="E84" s="3" t="s">
        <v>219</v>
      </c>
    </row>
    <row r="85" spans="1:5" x14ac:dyDescent="0.4">
      <c r="A85" s="2">
        <f t="shared" si="1"/>
        <v>77</v>
      </c>
      <c r="B85" s="9" t="s">
        <v>78</v>
      </c>
      <c r="C85" s="9" t="s">
        <v>182</v>
      </c>
      <c r="D85" s="3" t="s">
        <v>221</v>
      </c>
      <c r="E85" s="3" t="s">
        <v>219</v>
      </c>
    </row>
    <row r="86" spans="1:5" x14ac:dyDescent="0.4">
      <c r="A86" s="2">
        <f t="shared" si="1"/>
        <v>78</v>
      </c>
      <c r="B86" s="9" t="s">
        <v>79</v>
      </c>
      <c r="C86" s="9" t="s">
        <v>183</v>
      </c>
      <c r="D86" s="3" t="s">
        <v>221</v>
      </c>
      <c r="E86" s="3" t="s">
        <v>219</v>
      </c>
    </row>
    <row r="87" spans="1:5" x14ac:dyDescent="0.4">
      <c r="A87" s="2">
        <f t="shared" si="1"/>
        <v>79</v>
      </c>
      <c r="B87" s="9" t="s">
        <v>80</v>
      </c>
      <c r="C87" s="9" t="s">
        <v>184</v>
      </c>
      <c r="D87" s="3" t="s">
        <v>221</v>
      </c>
      <c r="E87" s="3" t="s">
        <v>219</v>
      </c>
    </row>
    <row r="88" spans="1:5" x14ac:dyDescent="0.4">
      <c r="A88" s="2">
        <f t="shared" si="1"/>
        <v>80</v>
      </c>
      <c r="B88" s="9" t="s">
        <v>81</v>
      </c>
      <c r="C88" s="9" t="s">
        <v>185</v>
      </c>
      <c r="D88" s="3" t="s">
        <v>221</v>
      </c>
      <c r="E88" s="3" t="s">
        <v>219</v>
      </c>
    </row>
    <row r="89" spans="1:5" x14ac:dyDescent="0.4">
      <c r="A89" s="2">
        <f t="shared" si="1"/>
        <v>81</v>
      </c>
      <c r="B89" s="9" t="s">
        <v>82</v>
      </c>
      <c r="C89" s="9" t="s">
        <v>186</v>
      </c>
      <c r="D89" s="3" t="s">
        <v>220</v>
      </c>
      <c r="E89" s="3" t="s">
        <v>218</v>
      </c>
    </row>
    <row r="90" spans="1:5" x14ac:dyDescent="0.4">
      <c r="A90" s="2">
        <f t="shared" si="1"/>
        <v>82</v>
      </c>
      <c r="B90" s="9" t="s">
        <v>83</v>
      </c>
      <c r="C90" s="9" t="s">
        <v>187</v>
      </c>
      <c r="D90" s="3" t="s">
        <v>219</v>
      </c>
      <c r="E90" s="3" t="s">
        <v>218</v>
      </c>
    </row>
    <row r="91" spans="1:5" x14ac:dyDescent="0.4">
      <c r="A91" s="2">
        <f t="shared" si="1"/>
        <v>83</v>
      </c>
      <c r="B91" s="9" t="s">
        <v>84</v>
      </c>
      <c r="C91" s="9" t="s">
        <v>188</v>
      </c>
      <c r="D91" s="3" t="s">
        <v>219</v>
      </c>
      <c r="E91" s="3" t="s">
        <v>217</v>
      </c>
    </row>
    <row r="92" spans="1:5" x14ac:dyDescent="0.4">
      <c r="A92" s="2">
        <f t="shared" si="1"/>
        <v>84</v>
      </c>
      <c r="B92" s="9" t="s">
        <v>85</v>
      </c>
      <c r="C92" s="9" t="s">
        <v>189</v>
      </c>
      <c r="D92" s="3" t="s">
        <v>218</v>
      </c>
      <c r="E92" s="3" t="s">
        <v>222</v>
      </c>
    </row>
    <row r="93" spans="1:5" x14ac:dyDescent="0.4">
      <c r="A93" s="2">
        <f t="shared" si="1"/>
        <v>85</v>
      </c>
      <c r="B93" s="9" t="s">
        <v>86</v>
      </c>
      <c r="C93" s="9" t="s">
        <v>190</v>
      </c>
      <c r="D93" s="3" t="s">
        <v>217</v>
      </c>
      <c r="E93" s="3" t="s">
        <v>222</v>
      </c>
    </row>
    <row r="94" spans="1:5" x14ac:dyDescent="0.4">
      <c r="A94" s="2">
        <f t="shared" si="1"/>
        <v>86</v>
      </c>
      <c r="B94" s="9" t="s">
        <v>87</v>
      </c>
      <c r="C94" s="9" t="s">
        <v>191</v>
      </c>
      <c r="D94" s="3" t="s">
        <v>222</v>
      </c>
      <c r="E94" s="3" t="s">
        <v>223</v>
      </c>
    </row>
    <row r="95" spans="1:5" x14ac:dyDescent="0.4">
      <c r="A95" s="2">
        <f t="shared" si="1"/>
        <v>87</v>
      </c>
      <c r="B95" s="9" t="s">
        <v>88</v>
      </c>
      <c r="C95" s="9" t="s">
        <v>192</v>
      </c>
      <c r="D95" s="3" t="s">
        <v>223</v>
      </c>
      <c r="E95" s="3" t="s">
        <v>224</v>
      </c>
    </row>
    <row r="96" spans="1:5" x14ac:dyDescent="0.4">
      <c r="A96" s="2">
        <f t="shared" si="1"/>
        <v>88</v>
      </c>
      <c r="B96" s="9" t="s">
        <v>89</v>
      </c>
      <c r="C96" s="9" t="s">
        <v>193</v>
      </c>
      <c r="D96" s="3" t="s">
        <v>223</v>
      </c>
      <c r="E96" s="3" t="s">
        <v>225</v>
      </c>
    </row>
    <row r="97" spans="1:5" x14ac:dyDescent="0.4">
      <c r="A97" s="2">
        <f t="shared" si="1"/>
        <v>89</v>
      </c>
      <c r="B97" s="9" t="s">
        <v>90</v>
      </c>
      <c r="C97" s="9" t="s">
        <v>194</v>
      </c>
      <c r="D97" s="3" t="s">
        <v>224</v>
      </c>
      <c r="E97" s="3" t="s">
        <v>225</v>
      </c>
    </row>
    <row r="98" spans="1:5" x14ac:dyDescent="0.4">
      <c r="A98" s="2">
        <f t="shared" si="1"/>
        <v>90</v>
      </c>
      <c r="B98" s="9" t="s">
        <v>91</v>
      </c>
      <c r="C98" s="9" t="s">
        <v>195</v>
      </c>
      <c r="D98" s="3" t="s">
        <v>225</v>
      </c>
      <c r="E98" s="3" t="s">
        <v>226</v>
      </c>
    </row>
    <row r="99" spans="1:5" x14ac:dyDescent="0.4">
      <c r="A99" s="2">
        <f t="shared" si="1"/>
        <v>91</v>
      </c>
      <c r="B99" s="9" t="s">
        <v>92</v>
      </c>
      <c r="C99" s="9" t="s">
        <v>196</v>
      </c>
      <c r="D99" s="3" t="s">
        <v>225</v>
      </c>
      <c r="E99" s="3" t="s">
        <v>226</v>
      </c>
    </row>
    <row r="100" spans="1:5" x14ac:dyDescent="0.4">
      <c r="A100" s="2">
        <f t="shared" si="1"/>
        <v>92</v>
      </c>
      <c r="B100" s="9" t="s">
        <v>93</v>
      </c>
      <c r="C100" s="9" t="s">
        <v>197</v>
      </c>
      <c r="D100" s="3" t="s">
        <v>226</v>
      </c>
      <c r="E100" s="3" t="s">
        <v>227</v>
      </c>
    </row>
    <row r="101" spans="1:5" x14ac:dyDescent="0.4">
      <c r="A101" s="2">
        <f t="shared" si="1"/>
        <v>93</v>
      </c>
      <c r="B101" s="9" t="s">
        <v>94</v>
      </c>
      <c r="C101" s="9" t="s">
        <v>198</v>
      </c>
      <c r="D101" s="3" t="s">
        <v>227</v>
      </c>
      <c r="E101" s="3" t="s">
        <v>227</v>
      </c>
    </row>
    <row r="102" spans="1:5" x14ac:dyDescent="0.4">
      <c r="A102" s="2">
        <f t="shared" si="1"/>
        <v>94</v>
      </c>
      <c r="B102" s="9" t="s">
        <v>95</v>
      </c>
      <c r="C102" s="9" t="s">
        <v>199</v>
      </c>
      <c r="D102" s="3" t="s">
        <v>227</v>
      </c>
      <c r="E102" s="3" t="s">
        <v>228</v>
      </c>
    </row>
    <row r="103" spans="1:5" x14ac:dyDescent="0.4">
      <c r="A103" s="2">
        <f t="shared" si="1"/>
        <v>95</v>
      </c>
      <c r="B103" s="9" t="s">
        <v>96</v>
      </c>
      <c r="C103" s="9" t="s">
        <v>200</v>
      </c>
      <c r="D103" s="3" t="s">
        <v>228</v>
      </c>
      <c r="E103" s="3" t="s">
        <v>228</v>
      </c>
    </row>
    <row r="104" spans="1:5" x14ac:dyDescent="0.4">
      <c r="A104" s="2">
        <f t="shared" si="1"/>
        <v>96</v>
      </c>
      <c r="B104" s="9" t="s">
        <v>97</v>
      </c>
      <c r="C104" s="9" t="s">
        <v>201</v>
      </c>
      <c r="D104" s="3" t="s">
        <v>228</v>
      </c>
      <c r="E104" s="3" t="s">
        <v>228</v>
      </c>
    </row>
    <row r="105" spans="1:5" x14ac:dyDescent="0.4">
      <c r="A105" s="2">
        <f t="shared" si="1"/>
        <v>97</v>
      </c>
      <c r="B105" s="9" t="s">
        <v>98</v>
      </c>
      <c r="C105" s="9" t="s">
        <v>202</v>
      </c>
      <c r="D105" s="3" t="s">
        <v>163</v>
      </c>
      <c r="E105" s="3" t="s">
        <v>163</v>
      </c>
    </row>
    <row r="106" spans="1:5" x14ac:dyDescent="0.4">
      <c r="A106" s="2">
        <f t="shared" si="1"/>
        <v>98</v>
      </c>
      <c r="B106" s="9" t="s">
        <v>99</v>
      </c>
      <c r="C106" s="9" t="s">
        <v>203</v>
      </c>
      <c r="D106" s="3" t="s">
        <v>163</v>
      </c>
      <c r="E106" s="3" t="s">
        <v>163</v>
      </c>
    </row>
    <row r="107" spans="1:5" x14ac:dyDescent="0.4">
      <c r="A107" s="2">
        <f t="shared" si="1"/>
        <v>99</v>
      </c>
      <c r="B107" s="9" t="s">
        <v>100</v>
      </c>
      <c r="C107" s="9" t="s">
        <v>204</v>
      </c>
      <c r="D107" s="3" t="s">
        <v>229</v>
      </c>
      <c r="E107" s="3" t="s">
        <v>229</v>
      </c>
    </row>
    <row r="108" spans="1:5" x14ac:dyDescent="0.4">
      <c r="A108" s="2">
        <f t="shared" si="1"/>
        <v>100</v>
      </c>
      <c r="B108" s="9" t="s">
        <v>101</v>
      </c>
      <c r="C108" s="9" t="s">
        <v>205</v>
      </c>
      <c r="D108" s="3" t="s">
        <v>229</v>
      </c>
      <c r="E108" s="3" t="s">
        <v>229</v>
      </c>
    </row>
    <row r="109" spans="1:5" x14ac:dyDescent="0.4">
      <c r="A109" s="2">
        <f t="shared" si="1"/>
        <v>101</v>
      </c>
      <c r="B109" s="9" t="s">
        <v>102</v>
      </c>
      <c r="C109" s="9" t="s">
        <v>206</v>
      </c>
      <c r="D109" s="3" t="s">
        <v>229</v>
      </c>
      <c r="E109" s="3" t="s">
        <v>229</v>
      </c>
    </row>
    <row r="110" spans="1:5" x14ac:dyDescent="0.4">
      <c r="A110" s="2">
        <f t="shared" si="1"/>
        <v>102</v>
      </c>
      <c r="B110" s="9" t="s">
        <v>103</v>
      </c>
      <c r="C110" s="9" t="s">
        <v>207</v>
      </c>
      <c r="D110" s="3" t="s">
        <v>230</v>
      </c>
      <c r="E110" s="3" t="s">
        <v>230</v>
      </c>
    </row>
    <row r="111" spans="1:5" x14ac:dyDescent="0.4">
      <c r="A111" s="2">
        <f t="shared" si="1"/>
        <v>103</v>
      </c>
      <c r="B111" s="9" t="s">
        <v>104</v>
      </c>
      <c r="C111" s="9" t="s">
        <v>208</v>
      </c>
      <c r="D111" s="3" t="s">
        <v>230</v>
      </c>
      <c r="E111" s="3" t="s">
        <v>230</v>
      </c>
    </row>
    <row r="112" spans="1:5" x14ac:dyDescent="0.4">
      <c r="A112" s="2">
        <f t="shared" si="1"/>
        <v>104</v>
      </c>
      <c r="B112" s="9" t="s">
        <v>105</v>
      </c>
      <c r="C112" s="9" t="s">
        <v>209</v>
      </c>
      <c r="D112" s="3" t="s">
        <v>231</v>
      </c>
      <c r="E112" s="3" t="s">
        <v>231</v>
      </c>
    </row>
    <row r="113" spans="1:5" x14ac:dyDescent="0.4">
      <c r="A113" s="2">
        <f t="shared" si="1"/>
        <v>105</v>
      </c>
      <c r="B113" s="9" t="s">
        <v>106</v>
      </c>
      <c r="C113" s="9" t="s">
        <v>210</v>
      </c>
      <c r="D113" s="3" t="s">
        <v>231</v>
      </c>
      <c r="E113" s="3" t="s">
        <v>231</v>
      </c>
    </row>
    <row r="114" spans="1:5" x14ac:dyDescent="0.4">
      <c r="A114" s="2">
        <f t="shared" si="1"/>
        <v>106</v>
      </c>
      <c r="B114" s="9" t="s">
        <v>106</v>
      </c>
      <c r="C114" s="9" t="s">
        <v>211</v>
      </c>
    </row>
    <row r="115" spans="1:5" x14ac:dyDescent="0.4">
      <c r="A115" s="2">
        <f t="shared" si="1"/>
        <v>107</v>
      </c>
      <c r="B115" s="9" t="s">
        <v>106</v>
      </c>
      <c r="C115" s="9" t="s">
        <v>106</v>
      </c>
    </row>
    <row r="116" spans="1:5" x14ac:dyDescent="0.4">
      <c r="A116" s="2">
        <f t="shared" si="1"/>
        <v>108</v>
      </c>
      <c r="B116" s="9" t="s">
        <v>106</v>
      </c>
      <c r="C116" s="9" t="s">
        <v>106</v>
      </c>
    </row>
    <row r="117" spans="1:5" x14ac:dyDescent="0.4">
      <c r="A117" s="2">
        <f t="shared" si="1"/>
        <v>109</v>
      </c>
      <c r="B117" s="9" t="s">
        <v>106</v>
      </c>
      <c r="C117" s="9" t="s">
        <v>106</v>
      </c>
    </row>
    <row r="118" spans="1:5" x14ac:dyDescent="0.4">
      <c r="A118" s="2">
        <f t="shared" si="1"/>
        <v>110</v>
      </c>
      <c r="B118" s="9" t="s">
        <v>106</v>
      </c>
      <c r="C118" s="9" t="s">
        <v>106</v>
      </c>
    </row>
    <row r="119" spans="1:5" x14ac:dyDescent="0.4">
      <c r="A119" s="2">
        <f t="shared" si="1"/>
        <v>111</v>
      </c>
      <c r="B119" s="9" t="s">
        <v>106</v>
      </c>
      <c r="C119" s="9" t="s">
        <v>106</v>
      </c>
    </row>
    <row r="120" spans="1:5" x14ac:dyDescent="0.4">
      <c r="A120" s="2">
        <f t="shared" si="1"/>
        <v>112</v>
      </c>
      <c r="B120" s="9" t="s">
        <v>106</v>
      </c>
      <c r="C120" s="9" t="s">
        <v>106</v>
      </c>
    </row>
    <row r="121" spans="1:5" x14ac:dyDescent="0.4">
      <c r="A121" s="2">
        <f t="shared" si="1"/>
        <v>113</v>
      </c>
      <c r="B121" s="9" t="s">
        <v>106</v>
      </c>
      <c r="C121" s="9" t="s">
        <v>106</v>
      </c>
    </row>
    <row r="122" spans="1:5" x14ac:dyDescent="0.4">
      <c r="A122" s="2">
        <f t="shared" si="1"/>
        <v>114</v>
      </c>
      <c r="B122" s="9" t="s">
        <v>106</v>
      </c>
      <c r="C122" s="9" t="s">
        <v>106</v>
      </c>
    </row>
    <row r="123" spans="1:5" x14ac:dyDescent="0.4">
      <c r="A123" s="2">
        <f t="shared" si="1"/>
        <v>115</v>
      </c>
      <c r="B123" s="9" t="s">
        <v>106</v>
      </c>
      <c r="C123" s="9" t="s">
        <v>106</v>
      </c>
    </row>
    <row r="124" spans="1:5" x14ac:dyDescent="0.4">
      <c r="A124" s="2">
        <f t="shared" si="1"/>
        <v>116</v>
      </c>
      <c r="B124" s="9" t="s">
        <v>106</v>
      </c>
      <c r="C124" s="9" t="s">
        <v>106</v>
      </c>
    </row>
    <row r="125" spans="1:5" x14ac:dyDescent="0.4">
      <c r="A125" s="2">
        <f t="shared" si="1"/>
        <v>117</v>
      </c>
      <c r="B125" s="9" t="s">
        <v>106</v>
      </c>
      <c r="C125" s="9" t="s">
        <v>106</v>
      </c>
    </row>
    <row r="126" spans="1:5" x14ac:dyDescent="0.4">
      <c r="A126" s="2">
        <f t="shared" si="1"/>
        <v>118</v>
      </c>
      <c r="B126" s="9" t="s">
        <v>106</v>
      </c>
      <c r="C126" s="9" t="s">
        <v>106</v>
      </c>
    </row>
    <row r="127" spans="1:5" x14ac:dyDescent="0.4">
      <c r="A127" s="2">
        <f t="shared" si="1"/>
        <v>119</v>
      </c>
      <c r="B127" s="9" t="s">
        <v>106</v>
      </c>
      <c r="C127" s="9" t="s">
        <v>106</v>
      </c>
    </row>
    <row r="128" spans="1:5" x14ac:dyDescent="0.4">
      <c r="A128" s="2">
        <f t="shared" si="1"/>
        <v>120</v>
      </c>
      <c r="B128" s="9" t="s">
        <v>106</v>
      </c>
      <c r="C128" s="9" t="s">
        <v>106</v>
      </c>
    </row>
    <row r="129" spans="1:3" x14ac:dyDescent="0.4">
      <c r="A129" s="2">
        <f t="shared" si="1"/>
        <v>121</v>
      </c>
      <c r="B129" s="15">
        <v>1</v>
      </c>
      <c r="C129" s="15">
        <v>1</v>
      </c>
    </row>
    <row r="130" spans="1:3" x14ac:dyDescent="0.4">
      <c r="A130" s="2"/>
      <c r="B130" s="15"/>
      <c r="C130" s="15"/>
    </row>
    <row r="131" spans="1:3" x14ac:dyDescent="0.4">
      <c r="A131" s="2"/>
      <c r="B131" s="15"/>
      <c r="C131" s="15"/>
    </row>
    <row r="132" spans="1:3" x14ac:dyDescent="0.4">
      <c r="A132" s="2"/>
      <c r="B132" s="15"/>
      <c r="C132" s="15"/>
    </row>
    <row r="133" spans="1:3" x14ac:dyDescent="0.4">
      <c r="A133" s="2"/>
      <c r="B133" s="15"/>
      <c r="C133" s="15"/>
    </row>
    <row r="134" spans="1:3" x14ac:dyDescent="0.4">
      <c r="A134" s="2"/>
      <c r="B134" s="15"/>
      <c r="C134" s="15"/>
    </row>
    <row r="135" spans="1:3" x14ac:dyDescent="0.4">
      <c r="A135" s="2"/>
      <c r="B135" s="15"/>
      <c r="C135" s="15"/>
    </row>
    <row r="136" spans="1:3" x14ac:dyDescent="0.4">
      <c r="A136" s="2"/>
      <c r="B136" s="15"/>
      <c r="C136" s="15"/>
    </row>
    <row r="137" spans="1:3" x14ac:dyDescent="0.4">
      <c r="A137" s="2"/>
      <c r="B137" s="15"/>
      <c r="C137" s="15"/>
    </row>
    <row r="138" spans="1:3" x14ac:dyDescent="0.4">
      <c r="A138" s="2"/>
      <c r="B138" s="15"/>
      <c r="C138" s="15"/>
    </row>
    <row r="139" spans="1:3" x14ac:dyDescent="0.4">
      <c r="A139" s="2"/>
      <c r="B139" s="15"/>
      <c r="C139" s="15"/>
    </row>
    <row r="140" spans="1:3" x14ac:dyDescent="0.4">
      <c r="A140" s="2"/>
      <c r="B140" s="15"/>
      <c r="C140" s="15"/>
    </row>
    <row r="141" spans="1:3" x14ac:dyDescent="0.4">
      <c r="A141" s="2"/>
      <c r="B141" s="15"/>
      <c r="C141" s="15"/>
    </row>
    <row r="142" spans="1:3" x14ac:dyDescent="0.4">
      <c r="A142" s="2"/>
      <c r="B142" s="15"/>
      <c r="C142" s="15"/>
    </row>
    <row r="143" spans="1:3" x14ac:dyDescent="0.4">
      <c r="A143" s="2"/>
      <c r="B143" s="15"/>
      <c r="C143" s="15"/>
    </row>
    <row r="144" spans="1:3" x14ac:dyDescent="0.4">
      <c r="A144" s="2"/>
      <c r="B144" s="15"/>
      <c r="C144" s="15"/>
    </row>
    <row r="145" spans="1:3" x14ac:dyDescent="0.4">
      <c r="A145" s="2"/>
      <c r="B145" s="15"/>
      <c r="C145" s="15"/>
    </row>
    <row r="146" spans="1:3" x14ac:dyDescent="0.4">
      <c r="A146" s="2"/>
      <c r="B146" s="15"/>
      <c r="C146" s="15"/>
    </row>
    <row r="147" spans="1:3" x14ac:dyDescent="0.4">
      <c r="A147" s="2"/>
      <c r="B147" s="15"/>
      <c r="C147" s="15"/>
    </row>
    <row r="148" spans="1:3" x14ac:dyDescent="0.4">
      <c r="A148" s="2"/>
      <c r="B148" s="15"/>
      <c r="C148" s="15"/>
    </row>
    <row r="149" spans="1:3" x14ac:dyDescent="0.4">
      <c r="A149" s="2"/>
      <c r="B149" s="15"/>
      <c r="C149" s="15"/>
    </row>
    <row r="150" spans="1:3" x14ac:dyDescent="0.4">
      <c r="A150" s="2"/>
      <c r="B150" s="15"/>
      <c r="C150" s="15"/>
    </row>
    <row r="151" spans="1:3" x14ac:dyDescent="0.4">
      <c r="A151" s="2"/>
      <c r="B151" s="15"/>
      <c r="C151" s="15"/>
    </row>
    <row r="152" spans="1:3" x14ac:dyDescent="0.4">
      <c r="A152" s="2"/>
      <c r="B152" s="15"/>
      <c r="C152" s="15"/>
    </row>
    <row r="153" spans="1:3" x14ac:dyDescent="0.4">
      <c r="A153" s="2"/>
      <c r="B153" s="15"/>
      <c r="C153" s="15"/>
    </row>
    <row r="154" spans="1:3" x14ac:dyDescent="0.4">
      <c r="A154" s="2"/>
      <c r="B154" s="15"/>
      <c r="C154" s="15"/>
    </row>
    <row r="155" spans="1:3" x14ac:dyDescent="0.4">
      <c r="A155" s="2"/>
      <c r="B155" s="15"/>
      <c r="C155" s="15"/>
    </row>
    <row r="156" spans="1:3" x14ac:dyDescent="0.4">
      <c r="A156" s="2"/>
      <c r="B156" s="15"/>
      <c r="C156" s="15"/>
    </row>
    <row r="157" spans="1:3" x14ac:dyDescent="0.4">
      <c r="A157" s="2"/>
      <c r="B157" s="15"/>
      <c r="C157" s="15"/>
    </row>
    <row r="158" spans="1:3" x14ac:dyDescent="0.4">
      <c r="A158" s="2"/>
      <c r="B158" s="15"/>
      <c r="C158" s="15"/>
    </row>
    <row r="159" spans="1:3" x14ac:dyDescent="0.4">
      <c r="A159" s="2"/>
    </row>
    <row r="160" spans="1:3" x14ac:dyDescent="0.4">
      <c r="A160" s="2"/>
    </row>
  </sheetData>
  <mergeCells count="2">
    <mergeCell ref="B6:C6"/>
    <mergeCell ref="D6:E6"/>
  </mergeCells>
  <hyperlinks>
    <hyperlink ref="C5" r:id="rId1" xr:uid="{0DAD078E-FD93-7542-9EDE-3AD35ED6A9B5}"/>
  </hyperlink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60B13-1070-E34A-95B6-C6E8C7EC544C}">
  <sheetPr codeName="Sheet3"/>
  <dimension ref="A1:S2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D11"/>
    </sheetView>
  </sheetViews>
  <sheetFormatPr defaultColWidth="10.6640625" defaultRowHeight="16" x14ac:dyDescent="0.4"/>
  <cols>
    <col min="1" max="1" width="10.83203125" style="1"/>
    <col min="2" max="2" width="10.83203125" style="17"/>
    <col min="3" max="3" width="10.83203125" style="1"/>
    <col min="10" max="14" width="12.5" customWidth="1"/>
  </cols>
  <sheetData>
    <row r="1" spans="1:19" x14ac:dyDescent="0.4">
      <c r="A1" s="1" t="s">
        <v>264</v>
      </c>
      <c r="B1" s="17" t="s">
        <v>249</v>
      </c>
      <c r="C1" s="1" t="s">
        <v>232</v>
      </c>
      <c r="D1" t="s">
        <v>235</v>
      </c>
      <c r="G1" s="1" t="s">
        <v>265</v>
      </c>
      <c r="K1" s="58" t="s">
        <v>322</v>
      </c>
      <c r="L1" s="58"/>
      <c r="M1" s="58"/>
      <c r="N1" s="58"/>
    </row>
    <row r="2" spans="1:19" x14ac:dyDescent="0.4">
      <c r="A2" s="1">
        <v>1</v>
      </c>
      <c r="B2" s="17">
        <v>1951</v>
      </c>
      <c r="C2" s="11" t="s">
        <v>233</v>
      </c>
      <c r="D2" s="19">
        <v>20000</v>
      </c>
      <c r="F2" s="22" t="s">
        <v>266</v>
      </c>
      <c r="G2" s="41">
        <f>COUNT(D$2:D$26)</f>
        <v>10</v>
      </c>
      <c r="K2" s="1" t="s">
        <v>264</v>
      </c>
      <c r="L2" s="17" t="s">
        <v>249</v>
      </c>
      <c r="M2" s="1" t="s">
        <v>232</v>
      </c>
      <c r="N2" t="s">
        <v>235</v>
      </c>
      <c r="P2">
        <v>1</v>
      </c>
      <c r="Q2">
        <v>2</v>
      </c>
      <c r="R2">
        <v>3</v>
      </c>
      <c r="S2">
        <v>4</v>
      </c>
    </row>
    <row r="3" spans="1:19" x14ac:dyDescent="0.4">
      <c r="A3" s="1">
        <v>2</v>
      </c>
      <c r="B3" s="17">
        <v>1950</v>
      </c>
      <c r="C3" s="11" t="s">
        <v>233</v>
      </c>
      <c r="D3" s="19">
        <v>98000</v>
      </c>
      <c r="F3" s="22" t="s">
        <v>267</v>
      </c>
      <c r="G3" s="18">
        <f>SUM(D$2:D$26)</f>
        <v>545000</v>
      </c>
      <c r="K3" s="1">
        <v>1</v>
      </c>
      <c r="L3" s="17">
        <v>1951</v>
      </c>
      <c r="M3" s="11" t="s">
        <v>233</v>
      </c>
      <c r="N3" s="19">
        <v>20000</v>
      </c>
      <c r="O3" s="1">
        <v>1</v>
      </c>
      <c r="P3">
        <f>IF($O3=P$2,$L3*$N3,0)</f>
        <v>39020000</v>
      </c>
      <c r="Q3">
        <f t="shared" ref="Q3:S3" si="0">IF($O3=Q$2,$L3*$N3,0)</f>
        <v>0</v>
      </c>
      <c r="R3">
        <f t="shared" si="0"/>
        <v>0</v>
      </c>
      <c r="S3">
        <f t="shared" si="0"/>
        <v>0</v>
      </c>
    </row>
    <row r="4" spans="1:19" x14ac:dyDescent="0.4">
      <c r="A4" s="1">
        <v>3</v>
      </c>
      <c r="B4" s="17">
        <v>1954</v>
      </c>
      <c r="C4" s="11" t="s">
        <v>234</v>
      </c>
      <c r="D4" s="19">
        <v>65000</v>
      </c>
      <c r="F4" s="22" t="s">
        <v>312</v>
      </c>
      <c r="G4" s="40">
        <f>SUMPRODUCT(B2:B11,D2:D11)/G3</f>
        <v>1951.9798165137615</v>
      </c>
      <c r="H4" t="s">
        <v>314</v>
      </c>
      <c r="K4" s="1">
        <v>2</v>
      </c>
      <c r="L4" s="17">
        <v>1950</v>
      </c>
      <c r="M4" s="11" t="s">
        <v>233</v>
      </c>
      <c r="N4" s="19">
        <v>98000</v>
      </c>
      <c r="O4" s="1">
        <v>1</v>
      </c>
      <c r="P4">
        <f t="shared" ref="P4:S12" si="1">IF($O4=P$2,$L4*$N4,0)</f>
        <v>191100000</v>
      </c>
      <c r="Q4">
        <f t="shared" si="1"/>
        <v>0</v>
      </c>
      <c r="R4">
        <f t="shared" si="1"/>
        <v>0</v>
      </c>
      <c r="S4">
        <f t="shared" si="1"/>
        <v>0</v>
      </c>
    </row>
    <row r="5" spans="1:19" x14ac:dyDescent="0.4">
      <c r="A5" s="1">
        <v>4</v>
      </c>
      <c r="B5" s="17">
        <v>1950</v>
      </c>
      <c r="C5" s="11" t="s">
        <v>234</v>
      </c>
      <c r="D5" s="19">
        <v>49000</v>
      </c>
      <c r="F5" s="22" t="s">
        <v>313</v>
      </c>
      <c r="G5" s="40">
        <f>YEAR(Valuation_Date)-G4</f>
        <v>72.020183486238466</v>
      </c>
      <c r="H5" t="s">
        <v>315</v>
      </c>
      <c r="K5" s="1">
        <v>3</v>
      </c>
      <c r="L5" s="17">
        <v>1954</v>
      </c>
      <c r="M5" s="11" t="s">
        <v>234</v>
      </c>
      <c r="N5" s="19">
        <v>65000</v>
      </c>
      <c r="O5" s="1">
        <v>4</v>
      </c>
      <c r="P5">
        <f t="shared" si="1"/>
        <v>0</v>
      </c>
      <c r="Q5">
        <f t="shared" si="1"/>
        <v>0</v>
      </c>
      <c r="R5">
        <f t="shared" si="1"/>
        <v>0</v>
      </c>
      <c r="S5">
        <f>IF($O5=S$2,$L5*$N5,0)</f>
        <v>127010000</v>
      </c>
    </row>
    <row r="6" spans="1:19" x14ac:dyDescent="0.4">
      <c r="A6" s="1">
        <v>5</v>
      </c>
      <c r="B6" s="17">
        <v>1955</v>
      </c>
      <c r="C6" s="1" t="s">
        <v>233</v>
      </c>
      <c r="D6" s="19">
        <v>39000</v>
      </c>
      <c r="K6" s="1">
        <v>4</v>
      </c>
      <c r="L6" s="17">
        <v>1950</v>
      </c>
      <c r="M6" s="11" t="s">
        <v>234</v>
      </c>
      <c r="N6" s="19">
        <v>49000</v>
      </c>
      <c r="O6" s="1">
        <v>2</v>
      </c>
      <c r="P6">
        <f t="shared" si="1"/>
        <v>0</v>
      </c>
      <c r="Q6">
        <f t="shared" si="1"/>
        <v>95550000</v>
      </c>
      <c r="R6">
        <f t="shared" si="1"/>
        <v>0</v>
      </c>
      <c r="S6">
        <f t="shared" si="1"/>
        <v>0</v>
      </c>
    </row>
    <row r="7" spans="1:19" x14ac:dyDescent="0.4">
      <c r="A7" s="1">
        <v>6</v>
      </c>
      <c r="B7" s="17">
        <v>1947</v>
      </c>
      <c r="C7" s="11" t="s">
        <v>234</v>
      </c>
      <c r="D7" s="19">
        <v>78000</v>
      </c>
      <c r="K7" s="1">
        <v>5</v>
      </c>
      <c r="L7" s="17">
        <v>1955</v>
      </c>
      <c r="M7" s="1" t="s">
        <v>233</v>
      </c>
      <c r="N7" s="19">
        <v>39000</v>
      </c>
      <c r="O7" s="1">
        <v>3</v>
      </c>
      <c r="P7">
        <f t="shared" si="1"/>
        <v>0</v>
      </c>
      <c r="Q7">
        <f t="shared" si="1"/>
        <v>0</v>
      </c>
      <c r="R7">
        <f t="shared" si="1"/>
        <v>76245000</v>
      </c>
      <c r="S7">
        <f t="shared" si="1"/>
        <v>0</v>
      </c>
    </row>
    <row r="8" spans="1:19" x14ac:dyDescent="0.4">
      <c r="A8" s="1">
        <v>7</v>
      </c>
      <c r="B8" s="17">
        <v>1957</v>
      </c>
      <c r="C8" s="1" t="s">
        <v>233</v>
      </c>
      <c r="D8" s="19">
        <v>28000</v>
      </c>
      <c r="K8" s="1">
        <v>6</v>
      </c>
      <c r="L8" s="17">
        <v>1947</v>
      </c>
      <c r="M8" s="11" t="s">
        <v>234</v>
      </c>
      <c r="N8" s="19">
        <v>78000</v>
      </c>
      <c r="O8" s="1">
        <v>2</v>
      </c>
      <c r="P8">
        <f t="shared" si="1"/>
        <v>0</v>
      </c>
      <c r="Q8">
        <f t="shared" si="1"/>
        <v>151866000</v>
      </c>
      <c r="R8">
        <f t="shared" si="1"/>
        <v>0</v>
      </c>
      <c r="S8">
        <f t="shared" si="1"/>
        <v>0</v>
      </c>
    </row>
    <row r="9" spans="1:19" x14ac:dyDescent="0.4">
      <c r="A9" s="1">
        <v>8</v>
      </c>
      <c r="B9" s="17">
        <v>1945</v>
      </c>
      <c r="C9" s="11" t="s">
        <v>233</v>
      </c>
      <c r="D9" s="19">
        <v>50000</v>
      </c>
      <c r="K9" s="1">
        <v>7</v>
      </c>
      <c r="L9" s="17">
        <v>1957</v>
      </c>
      <c r="M9" s="1" t="s">
        <v>233</v>
      </c>
      <c r="N9" s="19">
        <v>28000</v>
      </c>
      <c r="O9" s="1">
        <v>3</v>
      </c>
      <c r="P9">
        <f t="shared" si="1"/>
        <v>0</v>
      </c>
      <c r="Q9">
        <f t="shared" si="1"/>
        <v>0</v>
      </c>
      <c r="R9">
        <f t="shared" si="1"/>
        <v>54796000</v>
      </c>
      <c r="S9">
        <f t="shared" si="1"/>
        <v>0</v>
      </c>
    </row>
    <row r="10" spans="1:19" x14ac:dyDescent="0.4">
      <c r="A10" s="1">
        <v>9</v>
      </c>
      <c r="B10" s="17">
        <v>1960</v>
      </c>
      <c r="C10" s="1" t="s">
        <v>234</v>
      </c>
      <c r="D10" s="19">
        <v>22000</v>
      </c>
      <c r="K10" s="1">
        <v>8</v>
      </c>
      <c r="L10" s="17">
        <v>1945</v>
      </c>
      <c r="M10" s="11" t="s">
        <v>233</v>
      </c>
      <c r="N10" s="19">
        <v>50000</v>
      </c>
      <c r="O10" s="1">
        <v>1</v>
      </c>
      <c r="P10">
        <f t="shared" si="1"/>
        <v>97250000</v>
      </c>
      <c r="Q10">
        <f t="shared" si="1"/>
        <v>0</v>
      </c>
      <c r="R10">
        <f t="shared" si="1"/>
        <v>0</v>
      </c>
      <c r="S10">
        <f t="shared" si="1"/>
        <v>0</v>
      </c>
    </row>
    <row r="11" spans="1:19" x14ac:dyDescent="0.4">
      <c r="A11" s="1">
        <v>10</v>
      </c>
      <c r="B11" s="17">
        <v>1957</v>
      </c>
      <c r="C11" s="1" t="s">
        <v>234</v>
      </c>
      <c r="D11" s="19">
        <v>96000</v>
      </c>
      <c r="K11" s="1">
        <v>9</v>
      </c>
      <c r="L11" s="17">
        <v>1960</v>
      </c>
      <c r="M11" s="1" t="s">
        <v>234</v>
      </c>
      <c r="N11" s="19">
        <v>22000</v>
      </c>
      <c r="O11" s="1">
        <v>4</v>
      </c>
      <c r="P11">
        <f t="shared" si="1"/>
        <v>0</v>
      </c>
      <c r="Q11">
        <f t="shared" si="1"/>
        <v>0</v>
      </c>
      <c r="R11">
        <f t="shared" si="1"/>
        <v>0</v>
      </c>
      <c r="S11">
        <f t="shared" si="1"/>
        <v>43120000</v>
      </c>
    </row>
    <row r="12" spans="1:19" x14ac:dyDescent="0.4">
      <c r="K12" s="1">
        <v>10</v>
      </c>
      <c r="L12" s="17">
        <v>1957</v>
      </c>
      <c r="M12" s="1" t="s">
        <v>234</v>
      </c>
      <c r="N12" s="19">
        <v>96000</v>
      </c>
      <c r="O12" s="1">
        <v>4</v>
      </c>
      <c r="P12">
        <f t="shared" si="1"/>
        <v>0</v>
      </c>
      <c r="Q12">
        <f t="shared" si="1"/>
        <v>0</v>
      </c>
      <c r="R12">
        <f t="shared" si="1"/>
        <v>0</v>
      </c>
      <c r="S12">
        <f t="shared" si="1"/>
        <v>187872000</v>
      </c>
    </row>
    <row r="13" spans="1:19" x14ac:dyDescent="0.4">
      <c r="P13">
        <f>SUM(P3:P12)</f>
        <v>327370000</v>
      </c>
      <c r="Q13">
        <f t="shared" ref="Q13:S13" si="2">SUM(Q3:Q12)</f>
        <v>247416000</v>
      </c>
      <c r="R13">
        <f t="shared" si="2"/>
        <v>131041000</v>
      </c>
      <c r="S13">
        <f t="shared" si="2"/>
        <v>358002000</v>
      </c>
    </row>
    <row r="15" spans="1:19" x14ac:dyDescent="0.4">
      <c r="J15" s="58" t="s">
        <v>323</v>
      </c>
      <c r="K15" s="58"/>
      <c r="L15" s="58"/>
      <c r="M15" s="58"/>
      <c r="N15" s="58"/>
    </row>
    <row r="16" spans="1:19" x14ac:dyDescent="0.4">
      <c r="J16" s="1" t="s">
        <v>328</v>
      </c>
      <c r="K16" s="1" t="s">
        <v>264</v>
      </c>
      <c r="L16" s="17" t="s">
        <v>249</v>
      </c>
      <c r="M16" s="1" t="s">
        <v>232</v>
      </c>
      <c r="N16" t="s">
        <v>235</v>
      </c>
    </row>
    <row r="17" spans="1:15" x14ac:dyDescent="0.4">
      <c r="J17" s="1" t="s">
        <v>320</v>
      </c>
      <c r="K17" s="1">
        <v>1</v>
      </c>
      <c r="L17" s="40">
        <f>ROUND(P13/N17,0)</f>
        <v>1949</v>
      </c>
      <c r="M17" s="1" t="s">
        <v>233</v>
      </c>
      <c r="N17" s="23">
        <f>N3+N4+N10</f>
        <v>168000</v>
      </c>
      <c r="O17" s="1"/>
    </row>
    <row r="18" spans="1:15" x14ac:dyDescent="0.4">
      <c r="J18" s="1" t="s">
        <v>324</v>
      </c>
      <c r="K18" s="1">
        <v>2</v>
      </c>
      <c r="L18" s="40">
        <f>ROUND(Q13/N18,0)</f>
        <v>1948</v>
      </c>
      <c r="M18" s="1" t="s">
        <v>234</v>
      </c>
      <c r="N18" s="23">
        <f>N6+N8</f>
        <v>127000</v>
      </c>
      <c r="O18" s="1"/>
    </row>
    <row r="19" spans="1:15" x14ac:dyDescent="0.4">
      <c r="J19" s="1" t="s">
        <v>321</v>
      </c>
      <c r="K19" s="1">
        <v>3</v>
      </c>
      <c r="L19" s="40">
        <f>ROUND(R13/N19,0)</f>
        <v>1956</v>
      </c>
      <c r="M19" s="1" t="s">
        <v>233</v>
      </c>
      <c r="N19" s="23">
        <f>N7+N9</f>
        <v>67000</v>
      </c>
      <c r="O19" s="1"/>
    </row>
    <row r="20" spans="1:15" x14ac:dyDescent="0.4">
      <c r="J20" s="1" t="s">
        <v>319</v>
      </c>
      <c r="K20" s="1">
        <v>4</v>
      </c>
      <c r="L20" s="40">
        <f>ROUND(S13/N20,0)</f>
        <v>1956</v>
      </c>
      <c r="M20" s="1" t="s">
        <v>234</v>
      </c>
      <c r="N20" s="23">
        <f>N5+N11+N12</f>
        <v>183000</v>
      </c>
      <c r="O20" s="1"/>
    </row>
    <row r="28" spans="1:15" x14ac:dyDescent="0.4">
      <c r="A28" s="12" t="s">
        <v>246</v>
      </c>
    </row>
    <row r="29" spans="1:15" x14ac:dyDescent="0.4">
      <c r="A29" t="s">
        <v>236</v>
      </c>
    </row>
  </sheetData>
  <sortState xmlns:xlrd2="http://schemas.microsoft.com/office/spreadsheetml/2017/richdata2" ref="A2:D11">
    <sortCondition ref="A2:A11"/>
  </sortState>
  <mergeCells count="2">
    <mergeCell ref="K1:N1"/>
    <mergeCell ref="J15:N15"/>
  </mergeCells>
  <phoneticPr fontId="3" type="noConversion"/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6CA4F-D607-F64C-B732-72A8C91DF760}">
  <sheetPr codeName="Sheet4"/>
  <dimension ref="A1:K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6" sqref="K16"/>
    </sheetView>
  </sheetViews>
  <sheetFormatPr defaultColWidth="10.6640625" defaultRowHeight="16" x14ac:dyDescent="0.4"/>
  <cols>
    <col min="1" max="1" width="14.6640625" style="1" customWidth="1"/>
  </cols>
  <sheetData>
    <row r="1" spans="1:11" x14ac:dyDescent="0.4">
      <c r="A1" s="1" t="s">
        <v>250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4">
      <c r="A2" s="1">
        <v>1</v>
      </c>
      <c r="B2">
        <v>0.20869477684240323</v>
      </c>
      <c r="C2">
        <v>7.6240032391483026E-2</v>
      </c>
      <c r="D2">
        <v>0.4701872054973063</v>
      </c>
      <c r="E2">
        <v>0.12235427433113655</v>
      </c>
      <c r="F2">
        <v>0.79714990393311891</v>
      </c>
      <c r="G2">
        <v>9.0532087422827701E-2</v>
      </c>
      <c r="H2">
        <v>0.63621295772339637</v>
      </c>
      <c r="I2">
        <v>0.43801162482320977</v>
      </c>
      <c r="J2">
        <v>0.95213900816183528</v>
      </c>
      <c r="K2">
        <v>0.21302871221830288</v>
      </c>
    </row>
    <row r="3" spans="1:11" x14ac:dyDescent="0.4">
      <c r="A3" s="1">
        <f>1+A2</f>
        <v>2</v>
      </c>
      <c r="B3">
        <v>0.56638645979419444</v>
      </c>
      <c r="C3">
        <v>0.73271723266662769</v>
      </c>
      <c r="D3">
        <v>0.15505239550147765</v>
      </c>
      <c r="E3">
        <v>4.1359521892151418E-2</v>
      </c>
      <c r="F3">
        <v>0.15164989173602594</v>
      </c>
      <c r="G3">
        <v>0.50274180958420844</v>
      </c>
      <c r="H3">
        <v>0.92963559021853459</v>
      </c>
      <c r="I3">
        <v>0.96108588369162407</v>
      </c>
      <c r="J3">
        <v>0.21560657627528945</v>
      </c>
      <c r="K3">
        <v>0.75530735027839269</v>
      </c>
    </row>
    <row r="4" spans="1:11" x14ac:dyDescent="0.4">
      <c r="A4" s="1">
        <f t="shared" ref="A4:A26" si="0">1+A3</f>
        <v>3</v>
      </c>
      <c r="B4">
        <v>0.4193541148879586</v>
      </c>
      <c r="C4">
        <v>0.20750390609179903</v>
      </c>
      <c r="D4">
        <v>0.66091668329479203</v>
      </c>
      <c r="E4">
        <v>0.91645913741117979</v>
      </c>
      <c r="F4">
        <v>0.30311908088606199</v>
      </c>
      <c r="G4">
        <v>0.49581568940031784</v>
      </c>
      <c r="H4">
        <v>0.80623719037342712</v>
      </c>
      <c r="I4">
        <v>0.83286559701460838</v>
      </c>
      <c r="J4">
        <v>0.63147890003195462</v>
      </c>
      <c r="K4">
        <v>0.19941124826138545</v>
      </c>
    </row>
    <row r="5" spans="1:11" x14ac:dyDescent="0.4">
      <c r="A5" s="1">
        <f t="shared" si="0"/>
        <v>4</v>
      </c>
      <c r="B5">
        <v>0.5362430217037697</v>
      </c>
      <c r="C5">
        <v>0.32547379853138769</v>
      </c>
      <c r="D5">
        <v>0.98332249482247114</v>
      </c>
      <c r="E5">
        <v>0.3761486879192939</v>
      </c>
      <c r="F5">
        <v>0.46632289986375242</v>
      </c>
      <c r="G5">
        <v>0.67665552235080029</v>
      </c>
      <c r="H5">
        <v>0.62005407240261823</v>
      </c>
      <c r="I5">
        <v>0.86121254170207295</v>
      </c>
      <c r="J5">
        <v>0.87584913557485289</v>
      </c>
      <c r="K5">
        <v>0.19994414450151532</v>
      </c>
    </row>
    <row r="6" spans="1:11" x14ac:dyDescent="0.4">
      <c r="A6" s="1">
        <f t="shared" si="0"/>
        <v>5</v>
      </c>
      <c r="B6">
        <v>0.62494159873794763</v>
      </c>
      <c r="C6">
        <v>0.48208256136377348</v>
      </c>
      <c r="D6">
        <v>0.26487698557364636</v>
      </c>
      <c r="E6">
        <v>3.347804528630427E-2</v>
      </c>
      <c r="F6">
        <v>0.99380492119725472</v>
      </c>
      <c r="G6">
        <v>0.44524093272599818</v>
      </c>
      <c r="H6">
        <v>0.31152289344539252</v>
      </c>
      <c r="I6">
        <v>0.46765860333251108</v>
      </c>
      <c r="J6">
        <v>0.9558501330731457</v>
      </c>
      <c r="K6">
        <v>0.8786682892119263</v>
      </c>
    </row>
    <row r="7" spans="1:11" x14ac:dyDescent="0.4">
      <c r="A7" s="1">
        <f t="shared" si="0"/>
        <v>6</v>
      </c>
      <c r="B7">
        <v>0.87672065805320654</v>
      </c>
      <c r="C7">
        <v>0.70233907704269738</v>
      </c>
      <c r="D7">
        <v>0.91256311061354378</v>
      </c>
      <c r="E7">
        <v>0.25080393676641244</v>
      </c>
      <c r="F7">
        <v>9.4700893075204906E-2</v>
      </c>
      <c r="G7">
        <v>0.97259221570403409</v>
      </c>
      <c r="H7">
        <v>0.58990207689290941</v>
      </c>
      <c r="I7">
        <v>0.26297555001386452</v>
      </c>
      <c r="J7">
        <v>0.20138264475175194</v>
      </c>
      <c r="K7">
        <v>8.0596453239615173E-2</v>
      </c>
    </row>
    <row r="8" spans="1:11" x14ac:dyDescent="0.4">
      <c r="A8" s="1">
        <f t="shared" si="0"/>
        <v>7</v>
      </c>
      <c r="B8">
        <v>0.20372629077722182</v>
      </c>
      <c r="C8">
        <v>0.91023038420293401</v>
      </c>
      <c r="D8">
        <v>0.596826287944902</v>
      </c>
      <c r="E8">
        <v>0.88733273430770887</v>
      </c>
      <c r="F8">
        <v>0.25446830320618419</v>
      </c>
      <c r="G8">
        <v>0.72394620071407823</v>
      </c>
      <c r="H8">
        <v>0.75793542043848161</v>
      </c>
      <c r="I8">
        <v>0.19060099313872281</v>
      </c>
      <c r="J8">
        <v>0.66667675460398179</v>
      </c>
      <c r="K8">
        <v>9.3172214240447193E-2</v>
      </c>
    </row>
    <row r="9" spans="1:11" x14ac:dyDescent="0.4">
      <c r="A9" s="1">
        <f t="shared" si="0"/>
        <v>8</v>
      </c>
      <c r="B9">
        <v>0.1053355580554447</v>
      </c>
      <c r="C9">
        <v>0.49460077585316031</v>
      </c>
      <c r="D9">
        <v>0.3641776679030575</v>
      </c>
      <c r="E9">
        <v>0.20789567747921911</v>
      </c>
      <c r="F9">
        <v>0.6344661215557742</v>
      </c>
      <c r="G9">
        <v>0.21083474921203837</v>
      </c>
      <c r="H9">
        <v>0.37170675230499761</v>
      </c>
      <c r="I9">
        <v>0.51524538906588579</v>
      </c>
      <c r="J9">
        <v>0.67297611379192246</v>
      </c>
      <c r="K9">
        <v>0.5734773678558438</v>
      </c>
    </row>
    <row r="10" spans="1:11" x14ac:dyDescent="0.4">
      <c r="A10" s="1">
        <f t="shared" si="0"/>
        <v>9</v>
      </c>
      <c r="B10">
        <v>0.76358963898872589</v>
      </c>
      <c r="C10">
        <v>0.36136823907853133</v>
      </c>
      <c r="D10">
        <v>0.14821031681475527</v>
      </c>
      <c r="E10">
        <v>0.3597894804438857</v>
      </c>
      <c r="F10">
        <v>0.20700413174499321</v>
      </c>
      <c r="G10">
        <v>0.21409947589712008</v>
      </c>
      <c r="H10">
        <v>0.89199680477019128</v>
      </c>
      <c r="I10">
        <v>0.60635616334429066</v>
      </c>
      <c r="J10">
        <v>9.836356156312398E-2</v>
      </c>
      <c r="K10">
        <v>0.1868851910637801</v>
      </c>
    </row>
    <row r="11" spans="1:11" x14ac:dyDescent="0.4">
      <c r="A11" s="1">
        <f t="shared" si="0"/>
        <v>10</v>
      </c>
      <c r="B11">
        <v>0.5392244468877323</v>
      </c>
      <c r="C11">
        <v>0.74157861388882873</v>
      </c>
      <c r="D11">
        <v>0.65536546344205338</v>
      </c>
      <c r="E11">
        <v>0.48359976008537175</v>
      </c>
      <c r="F11">
        <v>0.68797630176333557</v>
      </c>
      <c r="G11">
        <v>0.34947777523067647</v>
      </c>
      <c r="H11">
        <v>0.4996539898602087</v>
      </c>
      <c r="I11">
        <v>0.58767572613535324</v>
      </c>
      <c r="J11">
        <v>0.59167866585383122</v>
      </c>
      <c r="K11">
        <v>0.16798772952015395</v>
      </c>
    </row>
    <row r="12" spans="1:11" x14ac:dyDescent="0.4">
      <c r="A12" s="1">
        <f t="shared" si="0"/>
        <v>11</v>
      </c>
      <c r="B12">
        <v>0.35315419106309887</v>
      </c>
      <c r="C12">
        <v>0.12727758880304607</v>
      </c>
      <c r="D12">
        <v>0.19248402154482447</v>
      </c>
      <c r="E12">
        <v>0.29345977466880369</v>
      </c>
      <c r="F12">
        <v>0.39391925938348604</v>
      </c>
      <c r="G12">
        <v>0.46620646261229237</v>
      </c>
      <c r="H12">
        <v>4.5656052471516162E-2</v>
      </c>
      <c r="I12">
        <v>0.31384448391452258</v>
      </c>
      <c r="J12">
        <v>0.9079785248358333</v>
      </c>
      <c r="K12">
        <v>0.49278369163524682</v>
      </c>
    </row>
    <row r="13" spans="1:11" x14ac:dyDescent="0.4">
      <c r="A13" s="1">
        <f t="shared" si="0"/>
        <v>12</v>
      </c>
      <c r="B13">
        <v>0.79366115407314786</v>
      </c>
      <c r="C13">
        <v>0.16028419514159176</v>
      </c>
      <c r="D13">
        <v>0.10104228578344288</v>
      </c>
      <c r="E13">
        <v>0.59555170193262152</v>
      </c>
      <c r="F13">
        <v>0.85788962428181714</v>
      </c>
      <c r="G13">
        <v>0.89852694797465293</v>
      </c>
      <c r="H13">
        <v>0.1328922158940391</v>
      </c>
      <c r="I13">
        <v>0.57701333912667974</v>
      </c>
      <c r="J13">
        <v>0.56698375899075049</v>
      </c>
      <c r="K13">
        <v>0.15280437028530869</v>
      </c>
    </row>
    <row r="14" spans="1:11" x14ac:dyDescent="0.4">
      <c r="A14" s="1">
        <f t="shared" si="0"/>
        <v>13</v>
      </c>
      <c r="B14">
        <v>0.64371269594871883</v>
      </c>
      <c r="C14">
        <v>0.63379794674302314</v>
      </c>
      <c r="D14">
        <v>0.93347216452300252</v>
      </c>
      <c r="E14">
        <v>0.34680692107469901</v>
      </c>
      <c r="F14">
        <v>0.59639732916410304</v>
      </c>
      <c r="G14">
        <v>0.7509342839721399</v>
      </c>
      <c r="H14">
        <v>0.43280103528368996</v>
      </c>
      <c r="I14">
        <v>0.56104301503786302</v>
      </c>
      <c r="J14">
        <v>0.72462438283403907</v>
      </c>
      <c r="K14">
        <v>0.21566363176787107</v>
      </c>
    </row>
    <row r="15" spans="1:11" x14ac:dyDescent="0.4">
      <c r="A15" s="1">
        <f t="shared" si="0"/>
        <v>14</v>
      </c>
      <c r="B15">
        <v>0.70018314622063349</v>
      </c>
      <c r="C15">
        <v>0.36762148700167796</v>
      </c>
      <c r="D15">
        <v>0.40596525240811543</v>
      </c>
      <c r="E15">
        <v>0.71510092331032349</v>
      </c>
      <c r="F15">
        <v>0.72882238487292061</v>
      </c>
      <c r="G15">
        <v>0.38546887401980545</v>
      </c>
      <c r="H15">
        <v>0.61080680149256827</v>
      </c>
      <c r="I15">
        <v>0.83926228437807782</v>
      </c>
      <c r="J15">
        <v>0.25754637230664446</v>
      </c>
      <c r="K15">
        <v>0.32063895492333949</v>
      </c>
    </row>
    <row r="16" spans="1:11" x14ac:dyDescent="0.4">
      <c r="A16" s="1">
        <f t="shared" si="0"/>
        <v>15</v>
      </c>
      <c r="B16">
        <v>0.73928776292518161</v>
      </c>
      <c r="C16">
        <v>3.7387092707450331E-2</v>
      </c>
      <c r="D16">
        <v>0.52839564840471254</v>
      </c>
      <c r="E16">
        <v>0.19759431128315286</v>
      </c>
      <c r="F16">
        <v>0.91076680020741407</v>
      </c>
      <c r="G16">
        <v>0.66257949506948233</v>
      </c>
      <c r="H16">
        <v>8.349862192704427E-2</v>
      </c>
      <c r="I16">
        <v>0.7148281740520116</v>
      </c>
      <c r="J16">
        <v>0.35704332490305035</v>
      </c>
      <c r="K16">
        <v>0.46898799167279404</v>
      </c>
    </row>
    <row r="17" spans="1:11" x14ac:dyDescent="0.4">
      <c r="A17" s="1">
        <f t="shared" si="0"/>
        <v>16</v>
      </c>
      <c r="B17">
        <v>0.7370960053819029</v>
      </c>
      <c r="C17">
        <v>0.37985740010123736</v>
      </c>
      <c r="D17">
        <v>0.39064947851572229</v>
      </c>
      <c r="E17">
        <v>0.12213735043871343</v>
      </c>
      <c r="F17">
        <v>2.964476556250728E-2</v>
      </c>
      <c r="G17">
        <v>0.94801898956972042</v>
      </c>
      <c r="H17">
        <v>0.55475695668414826</v>
      </c>
      <c r="I17">
        <v>0.733294770685605</v>
      </c>
      <c r="J17">
        <v>0.17228652667688305</v>
      </c>
      <c r="K17">
        <v>0.43558206982107284</v>
      </c>
    </row>
    <row r="18" spans="1:11" x14ac:dyDescent="0.4">
      <c r="A18" s="1">
        <f t="shared" si="0"/>
        <v>17</v>
      </c>
      <c r="B18">
        <v>7.0691705162244545E-2</v>
      </c>
      <c r="C18">
        <v>0.55394557077302164</v>
      </c>
      <c r="D18">
        <v>0.17972920906196543</v>
      </c>
      <c r="E18">
        <v>0.89403471995157024</v>
      </c>
      <c r="F18">
        <v>0.22455237075038359</v>
      </c>
      <c r="G18">
        <v>0.9226818523860284</v>
      </c>
      <c r="H18">
        <v>0.86623939171601039</v>
      </c>
      <c r="I18">
        <v>0.14709655484949447</v>
      </c>
      <c r="J18">
        <v>1.4013614162308174E-3</v>
      </c>
      <c r="K18">
        <v>0.50565198728573846</v>
      </c>
    </row>
    <row r="19" spans="1:11" x14ac:dyDescent="0.4">
      <c r="A19" s="1">
        <f t="shared" si="0"/>
        <v>18</v>
      </c>
      <c r="B19">
        <v>0.9640252847090246</v>
      </c>
      <c r="C19">
        <v>0.3400665174590336</v>
      </c>
      <c r="D19">
        <v>0.3170755676974113</v>
      </c>
      <c r="E19">
        <v>0.12681462486777539</v>
      </c>
      <c r="F19">
        <v>0.36449320453382317</v>
      </c>
      <c r="G19">
        <v>0.94231604644250788</v>
      </c>
      <c r="H19">
        <v>1.0854739894249565E-2</v>
      </c>
      <c r="I19">
        <v>0.81458834565776217</v>
      </c>
      <c r="J19">
        <v>0.84555716766317834</v>
      </c>
      <c r="K19">
        <v>0.61221075288693938</v>
      </c>
    </row>
    <row r="20" spans="1:11" x14ac:dyDescent="0.4">
      <c r="A20" s="1">
        <f t="shared" si="0"/>
        <v>19</v>
      </c>
      <c r="B20">
        <v>0.21794451353620525</v>
      </c>
      <c r="C20">
        <v>0.29397083703077553</v>
      </c>
      <c r="D20">
        <v>0.59236766018332032</v>
      </c>
      <c r="E20">
        <v>0.22462748086875728</v>
      </c>
      <c r="F20">
        <v>0.3136807217177725</v>
      </c>
      <c r="G20">
        <v>0.17522806584356743</v>
      </c>
      <c r="H20">
        <v>0.42219086981316645</v>
      </c>
      <c r="I20">
        <v>0.8265434123760721</v>
      </c>
      <c r="J20">
        <v>0.5958756939369998</v>
      </c>
      <c r="K20">
        <v>0.82559086557860617</v>
      </c>
    </row>
    <row r="21" spans="1:11" x14ac:dyDescent="0.4">
      <c r="A21" s="1">
        <f t="shared" si="0"/>
        <v>20</v>
      </c>
      <c r="B21">
        <v>0.16983121797172507</v>
      </c>
      <c r="C21">
        <v>0.24151405470468124</v>
      </c>
      <c r="D21">
        <v>0.79658930362257707</v>
      </c>
      <c r="E21">
        <v>0.53723169108008606</v>
      </c>
      <c r="F21">
        <v>0.65265577610683589</v>
      </c>
      <c r="G21">
        <v>0.74925018781568664</v>
      </c>
      <c r="H21">
        <v>0.64496763279741454</v>
      </c>
      <c r="I21">
        <v>7.7909585038025475E-2</v>
      </c>
      <c r="J21">
        <v>0.39603384551274989</v>
      </c>
      <c r="K21">
        <v>3.6326666366037763E-4</v>
      </c>
    </row>
    <row r="22" spans="1:11" x14ac:dyDescent="0.4">
      <c r="A22" s="1">
        <f t="shared" si="0"/>
        <v>21</v>
      </c>
      <c r="B22">
        <v>0.20536014231345967</v>
      </c>
      <c r="C22">
        <v>3.4307056942927683E-2</v>
      </c>
      <c r="D22">
        <v>0.84328822268480974</v>
      </c>
      <c r="E22">
        <v>0.61405046549164444</v>
      </c>
      <c r="F22">
        <v>0.32241436980191973</v>
      </c>
      <c r="G22">
        <v>0.95627371075700895</v>
      </c>
      <c r="H22">
        <v>9.9062365799395202E-2</v>
      </c>
      <c r="I22">
        <v>0.67793634293843807</v>
      </c>
      <c r="J22">
        <v>0.72552587564357618</v>
      </c>
      <c r="K22">
        <v>0.55706765668070579</v>
      </c>
    </row>
    <row r="23" spans="1:11" x14ac:dyDescent="0.4">
      <c r="A23" s="1">
        <f t="shared" si="0"/>
        <v>22</v>
      </c>
      <c r="B23">
        <v>0.65752514039370114</v>
      </c>
      <c r="C23">
        <v>0.74151222444548626</v>
      </c>
      <c r="D23">
        <v>0.81704514112039961</v>
      </c>
      <c r="E23">
        <v>0.15773966649250004</v>
      </c>
      <c r="F23">
        <v>0.60440573041199253</v>
      </c>
      <c r="G23">
        <v>0.53075013368935309</v>
      </c>
      <c r="H23">
        <v>0.47445254248973723</v>
      </c>
      <c r="I23">
        <v>0.14299883124691504</v>
      </c>
      <c r="J23">
        <v>0.77188557694030369</v>
      </c>
      <c r="K23">
        <v>0.51383978827302079</v>
      </c>
    </row>
    <row r="24" spans="1:11" x14ac:dyDescent="0.4">
      <c r="A24" s="1">
        <f t="shared" si="0"/>
        <v>23</v>
      </c>
      <c r="B24">
        <v>0.17167161627981242</v>
      </c>
      <c r="C24">
        <v>0.65128025057436068</v>
      </c>
      <c r="D24">
        <v>0.46048502299219052</v>
      </c>
      <c r="E24">
        <v>0.68459829801833827</v>
      </c>
      <c r="F24">
        <v>0.1202787254310993</v>
      </c>
      <c r="G24">
        <v>0.60245566567670528</v>
      </c>
      <c r="H24">
        <v>0.29188476189870249</v>
      </c>
      <c r="I24">
        <v>5.7380616361247916E-2</v>
      </c>
      <c r="J24">
        <v>0.66515359642970051</v>
      </c>
      <c r="K24">
        <v>0.70218462488310407</v>
      </c>
    </row>
    <row r="25" spans="1:11" x14ac:dyDescent="0.4">
      <c r="A25" s="1">
        <f t="shared" si="0"/>
        <v>24</v>
      </c>
      <c r="B25">
        <v>0.92276553551804397</v>
      </c>
      <c r="C25">
        <v>0.97133991230530659</v>
      </c>
      <c r="D25">
        <v>0.95747607931808831</v>
      </c>
      <c r="E25">
        <v>0.60141687387803999</v>
      </c>
      <c r="F25">
        <v>0.64130969800676452</v>
      </c>
      <c r="G25">
        <v>7.3769738560659825E-2</v>
      </c>
      <c r="H25">
        <v>0.53547130787243458</v>
      </c>
      <c r="I25">
        <v>0.91134096298625322</v>
      </c>
      <c r="J25">
        <v>0.84452885138862965</v>
      </c>
      <c r="K25">
        <v>0.42014879955655327</v>
      </c>
    </row>
    <row r="26" spans="1:11" x14ac:dyDescent="0.4">
      <c r="A26" s="1">
        <f t="shared" si="0"/>
        <v>25</v>
      </c>
      <c r="B26">
        <v>0.86791706028779736</v>
      </c>
      <c r="C26">
        <v>0.98153303337011377</v>
      </c>
      <c r="D26">
        <v>0.89204885515778753</v>
      </c>
      <c r="E26">
        <v>0.30768565056160768</v>
      </c>
      <c r="F26">
        <v>0.56129846088570956</v>
      </c>
      <c r="G26">
        <v>0.51005237147369809</v>
      </c>
      <c r="H26">
        <v>0.54299279119091892</v>
      </c>
      <c r="I26">
        <v>0.99987202296540068</v>
      </c>
      <c r="J26">
        <v>0.71365326512522109</v>
      </c>
      <c r="K26">
        <v>3.2171601717387532E-2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CC8F7-AE59-8A41-8A5F-4EA0F1AC3F91}">
  <sheetPr codeName="Sheet5"/>
  <dimension ref="A1:K66"/>
  <sheetViews>
    <sheetView workbookViewId="0">
      <pane ySplit="5" topLeftCell="A6" activePane="bottomLeft" state="frozen"/>
      <selection pane="bottomLeft" activeCell="J6" sqref="J6:J66"/>
    </sheetView>
  </sheetViews>
  <sheetFormatPr defaultColWidth="10.6640625" defaultRowHeight="16" x14ac:dyDescent="0.4"/>
  <cols>
    <col min="1" max="2" width="9.6640625" style="1" customWidth="1"/>
    <col min="3" max="10" width="13.83203125" style="1" customWidth="1"/>
  </cols>
  <sheetData>
    <row r="1" spans="1:11" x14ac:dyDescent="0.4">
      <c r="A1" s="21" t="s">
        <v>237</v>
      </c>
      <c r="B1" s="16">
        <v>10</v>
      </c>
      <c r="C1" s="12" t="s">
        <v>261</v>
      </c>
      <c r="D1" s="21" t="s">
        <v>258</v>
      </c>
      <c r="E1" s="16">
        <v>25</v>
      </c>
      <c r="F1" s="12" t="s">
        <v>261</v>
      </c>
    </row>
    <row r="2" spans="1:11" x14ac:dyDescent="0.4">
      <c r="A2" s="21" t="s">
        <v>232</v>
      </c>
      <c r="B2" s="1">
        <f>IF(VLOOKUP(B$1,Data!$A$2:$C$11,3)="F",1,0)</f>
        <v>1</v>
      </c>
      <c r="C2" s="12" t="s">
        <v>260</v>
      </c>
      <c r="D2" s="21" t="s">
        <v>259</v>
      </c>
      <c r="E2" s="1">
        <f>HLOOKUP(Policy_Number,'Random Numbers'!B1:K501,1+Scenario_Number)</f>
        <v>3.2171601717387532E-2</v>
      </c>
    </row>
    <row r="3" spans="1:11" x14ac:dyDescent="0.4">
      <c r="A3" s="21" t="s">
        <v>244</v>
      </c>
      <c r="B3" s="13">
        <f>VLOOKUP(B$1,Data!$A$2:$D$11,4)</f>
        <v>96000</v>
      </c>
      <c r="G3" s="58" t="s">
        <v>253</v>
      </c>
      <c r="H3" s="58"/>
    </row>
    <row r="4" spans="1:11" x14ac:dyDescent="0.4">
      <c r="A4" s="21"/>
      <c r="B4" s="13"/>
      <c r="G4" s="1" t="s">
        <v>254</v>
      </c>
      <c r="H4" s="1" t="s">
        <v>255</v>
      </c>
      <c r="I4" s="1" t="s">
        <v>256</v>
      </c>
      <c r="K4" s="1"/>
    </row>
    <row r="5" spans="1:11" s="1" customFormat="1" x14ac:dyDescent="0.4">
      <c r="A5" s="1" t="s">
        <v>238</v>
      </c>
      <c r="B5" s="1" t="s">
        <v>251</v>
      </c>
      <c r="C5" s="1" t="s">
        <v>239</v>
      </c>
      <c r="D5" s="1" t="s">
        <v>240</v>
      </c>
      <c r="E5" s="1" t="s">
        <v>241</v>
      </c>
      <c r="F5" s="1" t="s">
        <v>242</v>
      </c>
      <c r="G5" s="1" t="s">
        <v>243</v>
      </c>
      <c r="H5" s="1" t="s">
        <v>252</v>
      </c>
      <c r="I5" s="1" t="s">
        <v>257</v>
      </c>
      <c r="J5" s="1" t="s">
        <v>245</v>
      </c>
    </row>
    <row r="6" spans="1:11" x14ac:dyDescent="0.4">
      <c r="A6" s="1">
        <f>YEAR(Valuation_Date)+1</f>
        <v>2025</v>
      </c>
      <c r="B6" s="1">
        <f>A6-VLOOKUP(Policy_Number,Data!A2:D11,2)</f>
        <v>68</v>
      </c>
      <c r="C6" s="1" t="str">
        <f>VLOOKUP(B6,Assumptions!$A$8:$D$129,2+B$2)</f>
        <v>0.008475</v>
      </c>
      <c r="D6" s="1">
        <f>(1-VLOOKUP(B6,Assumptions!$A$8:$E$129,4+B$2))^(A6-2012)</f>
        <v>0.84357360943707882</v>
      </c>
      <c r="E6" s="1">
        <f>C6*D6</f>
        <v>7.149286339979243E-3</v>
      </c>
      <c r="F6" s="1">
        <f>1-E6</f>
        <v>0.99285071366002076</v>
      </c>
      <c r="G6" s="1">
        <f>F6</f>
        <v>0.99285071366002076</v>
      </c>
      <c r="H6" s="1">
        <f>1-G6</f>
        <v>7.1492863399792439E-3</v>
      </c>
      <c r="I6" s="20">
        <f t="shared" ref="I6:I37" si="0">IF(E$2&gt;H6,1,0)</f>
        <v>1</v>
      </c>
      <c r="J6" s="20">
        <f>B$3*I6</f>
        <v>96000</v>
      </c>
      <c r="K6" s="1"/>
    </row>
    <row r="7" spans="1:11" x14ac:dyDescent="0.4">
      <c r="A7" s="1">
        <f>A6+1</f>
        <v>2026</v>
      </c>
      <c r="B7" s="1">
        <f>B6+1</f>
        <v>69</v>
      </c>
      <c r="C7" s="1" t="str">
        <f>VLOOKUP(B7,Assumptions!$A$8:$D$129,2+B$2)</f>
        <v>0.009234</v>
      </c>
      <c r="D7" s="1">
        <f>(1-VLOOKUP(B7,Assumptions!$A$8:$E$129,4+B$2))^(A7-2012)</f>
        <v>0.83260715251439676</v>
      </c>
      <c r="E7" s="1">
        <f>C7*D7</f>
        <v>7.6882944463179392E-3</v>
      </c>
      <c r="F7" s="1">
        <f>1-E7</f>
        <v>0.99231170555368209</v>
      </c>
      <c r="G7" s="1">
        <f>G6*F7</f>
        <v>0.9852173850321656</v>
      </c>
      <c r="H7" s="1">
        <f t="shared" ref="H7:H66" si="1">1-G7</f>
        <v>1.4782614967834395E-2</v>
      </c>
      <c r="I7" s="20">
        <f t="shared" si="0"/>
        <v>1</v>
      </c>
      <c r="J7" s="20">
        <f t="shared" ref="J7:J66" si="2">B$3*I7</f>
        <v>96000</v>
      </c>
      <c r="K7" s="1"/>
    </row>
    <row r="8" spans="1:11" x14ac:dyDescent="0.4">
      <c r="A8" s="1">
        <f t="shared" ref="A8:A12" si="3">A7+1</f>
        <v>2027</v>
      </c>
      <c r="B8" s="1">
        <f t="shared" ref="B8:B12" si="4">B7+1</f>
        <v>70</v>
      </c>
      <c r="C8" s="1" t="str">
        <f>VLOOKUP(B8,Assumptions!$A$8:$D$129,2+B$2)</f>
        <v>0.010083</v>
      </c>
      <c r="D8" s="1">
        <f>(1-VLOOKUP(B8,Assumptions!$A$8:$E$129,4+B$2))^(A8-2012)</f>
        <v>0.82178325953170961</v>
      </c>
      <c r="E8" s="1">
        <f t="shared" ref="E8:E12" si="5">C8*D8</f>
        <v>8.2860406058582279E-3</v>
      </c>
      <c r="F8" s="1">
        <f t="shared" ref="F8:F66" si="6">1-E8</f>
        <v>0.99171395939414175</v>
      </c>
      <c r="G8" s="1">
        <f t="shared" ref="G8:G12" si="7">G7*F8</f>
        <v>0.97705383377419164</v>
      </c>
      <c r="H8" s="1">
        <f t="shared" si="1"/>
        <v>2.2946166225808362E-2</v>
      </c>
      <c r="I8" s="20">
        <f>IF(E$2&gt;H8,1,0)</f>
        <v>1</v>
      </c>
      <c r="J8" s="20">
        <f t="shared" si="2"/>
        <v>96000</v>
      </c>
      <c r="K8" s="1"/>
    </row>
    <row r="9" spans="1:11" x14ac:dyDescent="0.4">
      <c r="A9" s="1">
        <f t="shared" si="3"/>
        <v>2028</v>
      </c>
      <c r="B9" s="1">
        <f t="shared" si="4"/>
        <v>71</v>
      </c>
      <c r="C9" s="1" t="str">
        <f>VLOOKUP(B9,Assumptions!$A$8:$D$129,2+B$2)</f>
        <v>0.011011</v>
      </c>
      <c r="D9" s="1">
        <f>(1-VLOOKUP(B9,Assumptions!$A$8:$E$129,4+B$2))^(A9-2012)</f>
        <v>0.81110007715779731</v>
      </c>
      <c r="E9" s="1">
        <f t="shared" si="5"/>
        <v>8.9310229495845068E-3</v>
      </c>
      <c r="F9" s="1">
        <f t="shared" si="6"/>
        <v>0.99106897705041552</v>
      </c>
      <c r="G9" s="1">
        <f t="shared" si="7"/>
        <v>0.96832774356177487</v>
      </c>
      <c r="H9" s="1">
        <f t="shared" si="1"/>
        <v>3.1672256438225133E-2</v>
      </c>
      <c r="I9" s="20">
        <f t="shared" si="0"/>
        <v>1</v>
      </c>
      <c r="J9" s="20">
        <f t="shared" si="2"/>
        <v>96000</v>
      </c>
      <c r="K9" s="1"/>
    </row>
    <row r="10" spans="1:11" x14ac:dyDescent="0.4">
      <c r="A10" s="1">
        <f t="shared" si="3"/>
        <v>2029</v>
      </c>
      <c r="B10" s="1">
        <f t="shared" si="4"/>
        <v>72</v>
      </c>
      <c r="C10" s="1" t="str">
        <f>VLOOKUP(B10,Assumptions!$A$8:$D$129,2+B$2)</f>
        <v>0.01203</v>
      </c>
      <c r="D10" s="1">
        <f>(1-VLOOKUP(B10,Assumptions!$A$8:$E$129,4+B$2))^(A10-2012)</f>
        <v>0.80055577615474594</v>
      </c>
      <c r="E10" s="1">
        <f t="shared" si="5"/>
        <v>9.6306859871415941E-3</v>
      </c>
      <c r="F10" s="1">
        <f t="shared" si="6"/>
        <v>0.99036931401285844</v>
      </c>
      <c r="G10" s="1">
        <f t="shared" si="7"/>
        <v>0.95900208313089408</v>
      </c>
      <c r="H10" s="1">
        <f t="shared" si="1"/>
        <v>4.0997916869105921E-2</v>
      </c>
      <c r="I10" s="20">
        <f t="shared" si="0"/>
        <v>0</v>
      </c>
      <c r="J10" s="20">
        <f t="shared" si="2"/>
        <v>0</v>
      </c>
      <c r="K10" s="1"/>
    </row>
    <row r="11" spans="1:11" x14ac:dyDescent="0.4">
      <c r="A11" s="1">
        <f t="shared" si="3"/>
        <v>2030</v>
      </c>
      <c r="B11" s="1">
        <f t="shared" si="4"/>
        <v>73</v>
      </c>
      <c r="C11" s="1" t="str">
        <f>VLOOKUP(B11,Assumptions!$A$8:$D$129,2+B$2)</f>
        <v>0.013154</v>
      </c>
      <c r="D11" s="1">
        <f>(1-VLOOKUP(B11,Assumptions!$A$8:$E$129,4+B$2))^(A11-2012)</f>
        <v>0.79014855106473425</v>
      </c>
      <c r="E11" s="1">
        <f t="shared" si="5"/>
        <v>1.0393614040705514E-2</v>
      </c>
      <c r="F11" s="1">
        <f t="shared" si="6"/>
        <v>0.98960638595929451</v>
      </c>
      <c r="G11" s="1">
        <f t="shared" si="7"/>
        <v>0.94903458561459897</v>
      </c>
      <c r="H11" s="1">
        <f t="shared" si="1"/>
        <v>5.0965414385401031E-2</v>
      </c>
      <c r="I11" s="20">
        <f t="shared" si="0"/>
        <v>0</v>
      </c>
      <c r="J11" s="20">
        <f t="shared" si="2"/>
        <v>0</v>
      </c>
      <c r="K11" s="1"/>
    </row>
    <row r="12" spans="1:11" x14ac:dyDescent="0.4">
      <c r="A12" s="1">
        <f t="shared" si="3"/>
        <v>2031</v>
      </c>
      <c r="B12" s="1">
        <f t="shared" si="4"/>
        <v>74</v>
      </c>
      <c r="C12" s="1" t="str">
        <f>VLOOKUP(B12,Assumptions!$A$8:$D$129,2+B$2)</f>
        <v>0.014415</v>
      </c>
      <c r="D12" s="1">
        <f>(1-VLOOKUP(B12,Assumptions!$A$8:$E$129,4+B$2))^(A12-2012)</f>
        <v>0.77987661990089263</v>
      </c>
      <c r="E12" s="1">
        <f t="shared" si="5"/>
        <v>1.1241921475871369E-2</v>
      </c>
      <c r="F12" s="1">
        <f t="shared" si="6"/>
        <v>0.98875807852412867</v>
      </c>
      <c r="G12" s="1">
        <f t="shared" si="7"/>
        <v>0.93836561332523361</v>
      </c>
      <c r="H12" s="1">
        <f t="shared" si="1"/>
        <v>6.1634386674766395E-2</v>
      </c>
      <c r="I12" s="20">
        <f t="shared" si="0"/>
        <v>0</v>
      </c>
      <c r="J12" s="20">
        <f t="shared" si="2"/>
        <v>0</v>
      </c>
      <c r="K12" s="1"/>
    </row>
    <row r="13" spans="1:11" x14ac:dyDescent="0.4">
      <c r="A13" s="1">
        <f t="shared" ref="A13:A25" si="8">A12+1</f>
        <v>2032</v>
      </c>
      <c r="B13" s="1">
        <f t="shared" ref="B13:B25" si="9">B12+1</f>
        <v>75</v>
      </c>
      <c r="C13" s="1" t="str">
        <f>VLOOKUP(B13,Assumptions!$A$8:$D$129,2+B$2)</f>
        <v>0.015869</v>
      </c>
      <c r="D13" s="1">
        <f>(1-VLOOKUP(B13,Assumptions!$A$8:$E$129,4+B$2))^(A13-2012)</f>
        <v>0.76973822384218105</v>
      </c>
      <c r="E13" s="1">
        <f t="shared" ref="E13:E25" si="10">C13*D13</f>
        <v>1.2214975874151572E-2</v>
      </c>
      <c r="F13" s="1">
        <f t="shared" si="6"/>
        <v>0.98778502412584845</v>
      </c>
      <c r="G13" s="1">
        <f t="shared" ref="G13:G25" si="11">G12*F13</f>
        <v>0.92690349999733246</v>
      </c>
      <c r="H13" s="1">
        <f t="shared" si="1"/>
        <v>7.3096500002667542E-2</v>
      </c>
      <c r="I13" s="20">
        <f t="shared" si="0"/>
        <v>0</v>
      </c>
      <c r="J13" s="20">
        <f t="shared" si="2"/>
        <v>0</v>
      </c>
      <c r="K13" s="1"/>
    </row>
    <row r="14" spans="1:11" x14ac:dyDescent="0.4">
      <c r="A14" s="1">
        <f t="shared" si="8"/>
        <v>2033</v>
      </c>
      <c r="B14" s="1">
        <f t="shared" si="9"/>
        <v>76</v>
      </c>
      <c r="C14" s="1" t="str">
        <f>VLOOKUP(B14,Assumptions!$A$8:$D$129,2+B$2)</f>
        <v>0.017555</v>
      </c>
      <c r="D14" s="1">
        <f>(1-VLOOKUP(B14,Assumptions!$A$8:$E$129,4+B$2))^(A14-2012)</f>
        <v>0.75973162693223273</v>
      </c>
      <c r="E14" s="1">
        <f t="shared" si="10"/>
        <v>1.3337088710795347E-2</v>
      </c>
      <c r="F14" s="1">
        <f t="shared" si="6"/>
        <v>0.98666291128920469</v>
      </c>
      <c r="G14" s="1">
        <f t="shared" si="11"/>
        <v>0.91454130579152138</v>
      </c>
      <c r="H14" s="1">
        <f t="shared" si="1"/>
        <v>8.5458694208478625E-2</v>
      </c>
      <c r="I14" s="20">
        <f t="shared" si="0"/>
        <v>0</v>
      </c>
      <c r="J14" s="20">
        <f t="shared" si="2"/>
        <v>0</v>
      </c>
      <c r="K14" s="1"/>
    </row>
    <row r="15" spans="1:11" x14ac:dyDescent="0.4">
      <c r="A15" s="1">
        <f t="shared" si="8"/>
        <v>2034</v>
      </c>
      <c r="B15" s="1">
        <f t="shared" si="9"/>
        <v>77</v>
      </c>
      <c r="C15" s="1" t="str">
        <f>VLOOKUP(B15,Assumptions!$A$8:$D$129,2+B$2)</f>
        <v>0.0195</v>
      </c>
      <c r="D15" s="1">
        <f>(1-VLOOKUP(B15,Assumptions!$A$8:$E$129,4+B$2))^(A15-2012)</f>
        <v>0.74985511578211361</v>
      </c>
      <c r="E15" s="1">
        <f t="shared" si="10"/>
        <v>1.4622174757751216E-2</v>
      </c>
      <c r="F15" s="1">
        <f t="shared" si="6"/>
        <v>0.98537782524224882</v>
      </c>
      <c r="G15" s="1">
        <f t="shared" si="11"/>
        <v>0.90116872299505579</v>
      </c>
      <c r="H15" s="1">
        <f t="shared" si="1"/>
        <v>9.8831277004944207E-2</v>
      </c>
      <c r="I15" s="20">
        <f t="shared" si="0"/>
        <v>0</v>
      </c>
      <c r="J15" s="20">
        <f t="shared" si="2"/>
        <v>0</v>
      </c>
      <c r="K15" s="1"/>
    </row>
    <row r="16" spans="1:11" x14ac:dyDescent="0.4">
      <c r="A16" s="1">
        <f t="shared" si="8"/>
        <v>2035</v>
      </c>
      <c r="B16" s="1">
        <f t="shared" si="9"/>
        <v>78</v>
      </c>
      <c r="C16" s="1" t="str">
        <f>VLOOKUP(B16,Assumptions!$A$8:$D$129,2+B$2)</f>
        <v>0.021758</v>
      </c>
      <c r="D16" s="1">
        <f>(1-VLOOKUP(B16,Assumptions!$A$8:$E$129,4+B$2))^(A16-2012)</f>
        <v>0.74010699927694612</v>
      </c>
      <c r="E16" s="1">
        <f t="shared" si="10"/>
        <v>1.6103248090267794E-2</v>
      </c>
      <c r="F16" s="1">
        <f t="shared" si="6"/>
        <v>0.98389675190973225</v>
      </c>
      <c r="G16" s="1">
        <f t="shared" si="11"/>
        <v>0.88665697947747668</v>
      </c>
      <c r="H16" s="1">
        <f t="shared" si="1"/>
        <v>0.11334302052252332</v>
      </c>
      <c r="I16" s="20">
        <f t="shared" si="0"/>
        <v>0</v>
      </c>
      <c r="J16" s="20">
        <f t="shared" si="2"/>
        <v>0</v>
      </c>
      <c r="K16" s="1"/>
    </row>
    <row r="17" spans="1:11" x14ac:dyDescent="0.4">
      <c r="A17" s="1">
        <f t="shared" si="8"/>
        <v>2036</v>
      </c>
      <c r="B17" s="1">
        <f t="shared" si="9"/>
        <v>79</v>
      </c>
      <c r="C17" s="1" t="str">
        <f>VLOOKUP(B17,Assumptions!$A$8:$D$129,2+B$2)</f>
        <v>0.024412</v>
      </c>
      <c r="D17" s="1">
        <f>(1-VLOOKUP(B17,Assumptions!$A$8:$E$129,4+B$2))^(A17-2012)</f>
        <v>0.73048560828634579</v>
      </c>
      <c r="E17" s="1">
        <f t="shared" si="10"/>
        <v>1.7832614669486272E-2</v>
      </c>
      <c r="F17" s="1">
        <f t="shared" si="6"/>
        <v>0.98216738533051373</v>
      </c>
      <c r="G17" s="1">
        <f t="shared" si="11"/>
        <v>0.87084556721844419</v>
      </c>
      <c r="H17" s="1">
        <f t="shared" si="1"/>
        <v>0.12915443278155581</v>
      </c>
      <c r="I17" s="20">
        <f t="shared" si="0"/>
        <v>0</v>
      </c>
      <c r="J17" s="20">
        <f t="shared" si="2"/>
        <v>0</v>
      </c>
      <c r="K17" s="1"/>
    </row>
    <row r="18" spans="1:11" x14ac:dyDescent="0.4">
      <c r="A18" s="1">
        <f t="shared" si="8"/>
        <v>2037</v>
      </c>
      <c r="B18" s="1">
        <f t="shared" si="9"/>
        <v>80</v>
      </c>
      <c r="C18" s="1" t="str">
        <f>VLOOKUP(B18,Assumptions!$A$8:$D$129,2+B$2)</f>
        <v>0.027579</v>
      </c>
      <c r="D18" s="1">
        <f>(1-VLOOKUP(B18,Assumptions!$A$8:$E$129,4+B$2))^(A18-2012)</f>
        <v>0.72098929537862322</v>
      </c>
      <c r="E18" s="1">
        <f t="shared" si="10"/>
        <v>1.9884163777247048E-2</v>
      </c>
      <c r="F18" s="1">
        <f t="shared" si="6"/>
        <v>0.980115836222753</v>
      </c>
      <c r="G18" s="1">
        <f t="shared" si="11"/>
        <v>0.85352953133518306</v>
      </c>
      <c r="H18" s="1">
        <f t="shared" si="1"/>
        <v>0.14647046866481694</v>
      </c>
      <c r="I18" s="20">
        <f t="shared" si="0"/>
        <v>0</v>
      </c>
      <c r="J18" s="20">
        <f t="shared" si="2"/>
        <v>0</v>
      </c>
      <c r="K18" s="1"/>
    </row>
    <row r="19" spans="1:11" x14ac:dyDescent="0.4">
      <c r="A19" s="1">
        <f t="shared" si="8"/>
        <v>2038</v>
      </c>
      <c r="B19" s="1">
        <f t="shared" si="9"/>
        <v>81</v>
      </c>
      <c r="C19" s="1" t="str">
        <f>VLOOKUP(B19,Assumptions!$A$8:$D$129,2+B$2)</f>
        <v>0.031501</v>
      </c>
      <c r="D19" s="1">
        <f>(1-VLOOKUP(B19,Assumptions!$A$8:$E$129,4+B$2))^(A19-2012)</f>
        <v>0.73060149957992415</v>
      </c>
      <c r="E19" s="1">
        <f t="shared" si="10"/>
        <v>2.3014677838267193E-2</v>
      </c>
      <c r="F19" s="1">
        <f t="shared" si="6"/>
        <v>0.97698532216173284</v>
      </c>
      <c r="G19" s="1">
        <f t="shared" si="11"/>
        <v>0.83388582414605661</v>
      </c>
      <c r="H19" s="1">
        <f t="shared" si="1"/>
        <v>0.16611417585394339</v>
      </c>
      <c r="I19" s="20">
        <f t="shared" si="0"/>
        <v>0</v>
      </c>
      <c r="J19" s="20">
        <f t="shared" si="2"/>
        <v>0</v>
      </c>
      <c r="K19" s="1"/>
    </row>
    <row r="20" spans="1:11" x14ac:dyDescent="0.4">
      <c r="A20" s="1">
        <f t="shared" si="8"/>
        <v>2039</v>
      </c>
      <c r="B20" s="1">
        <f t="shared" si="9"/>
        <v>82</v>
      </c>
      <c r="C20" s="1" t="str">
        <f>VLOOKUP(B20,Assumptions!$A$8:$D$129,2+B$2)</f>
        <v>0.036122</v>
      </c>
      <c r="D20" s="1">
        <f>(1-VLOOKUP(B20,Assumptions!$A$8:$E$129,4+B$2))^(A20-2012)</f>
        <v>0.7218342815849651</v>
      </c>
      <c r="E20" s="1">
        <f t="shared" si="10"/>
        <v>2.607409791941211E-2</v>
      </c>
      <c r="F20" s="1">
        <f t="shared" si="6"/>
        <v>0.97392590208058794</v>
      </c>
      <c r="G20" s="1">
        <f t="shared" si="11"/>
        <v>0.81214300351366275</v>
      </c>
      <c r="H20" s="1">
        <f t="shared" si="1"/>
        <v>0.18785699648633725</v>
      </c>
      <c r="I20" s="20">
        <f t="shared" si="0"/>
        <v>0</v>
      </c>
      <c r="J20" s="20">
        <f t="shared" si="2"/>
        <v>0</v>
      </c>
      <c r="K20" s="1"/>
    </row>
    <row r="21" spans="1:11" x14ac:dyDescent="0.4">
      <c r="A21" s="1">
        <f t="shared" si="8"/>
        <v>2040</v>
      </c>
      <c r="B21" s="1">
        <f t="shared" si="9"/>
        <v>83</v>
      </c>
      <c r="C21" s="1" t="str">
        <f>VLOOKUP(B21,Assumptions!$A$8:$D$129,2+B$2)</f>
        <v>0.041477</v>
      </c>
      <c r="D21" s="1">
        <f>(1-VLOOKUP(B21,Assumptions!$A$8:$E$129,4+B$2))^(A21-2012)</f>
        <v>0.73366223537731967</v>
      </c>
      <c r="E21" s="1">
        <f t="shared" si="10"/>
        <v>3.0430108536745087E-2</v>
      </c>
      <c r="F21" s="1">
        <f t="shared" si="6"/>
        <v>0.9695698914632549</v>
      </c>
      <c r="G21" s="1">
        <f t="shared" si="11"/>
        <v>0.78742940376938386</v>
      </c>
      <c r="H21" s="1">
        <f t="shared" si="1"/>
        <v>0.21257059623061614</v>
      </c>
      <c r="I21" s="20">
        <f t="shared" si="0"/>
        <v>0</v>
      </c>
      <c r="J21" s="20">
        <f t="shared" si="2"/>
        <v>0</v>
      </c>
      <c r="K21" s="1"/>
    </row>
    <row r="22" spans="1:11" x14ac:dyDescent="0.4">
      <c r="A22" s="1">
        <f t="shared" si="8"/>
        <v>2041</v>
      </c>
      <c r="B22" s="1">
        <f t="shared" si="9"/>
        <v>84</v>
      </c>
      <c r="C22" s="1" t="str">
        <f>VLOOKUP(B22,Assumptions!$A$8:$D$129,2+B$2)</f>
        <v>0.047589</v>
      </c>
      <c r="D22" s="1">
        <f>(1-VLOOKUP(B22,Assumptions!$A$8:$E$129,4+B$2))^(A22-2012)</f>
        <v>0.74717209433159593</v>
      </c>
      <c r="E22" s="1">
        <f t="shared" si="10"/>
        <v>3.5557172797146319E-2</v>
      </c>
      <c r="F22" s="1">
        <f t="shared" si="6"/>
        <v>0.96444282720285368</v>
      </c>
      <c r="G22" s="1">
        <f t="shared" si="11"/>
        <v>0.75943064039400199</v>
      </c>
      <c r="H22" s="1">
        <f t="shared" si="1"/>
        <v>0.24056935960599801</v>
      </c>
      <c r="I22" s="20">
        <f t="shared" si="0"/>
        <v>0</v>
      </c>
      <c r="J22" s="20">
        <f t="shared" si="2"/>
        <v>0</v>
      </c>
      <c r="K22" s="1"/>
    </row>
    <row r="23" spans="1:11" x14ac:dyDescent="0.4">
      <c r="A23" s="1">
        <f t="shared" si="8"/>
        <v>2042</v>
      </c>
      <c r="B23" s="1">
        <f t="shared" si="9"/>
        <v>85</v>
      </c>
      <c r="C23" s="1" t="str">
        <f>VLOOKUP(B23,Assumptions!$A$8:$D$129,2+B$2)</f>
        <v>0.054441</v>
      </c>
      <c r="D23" s="1">
        <f>(1-VLOOKUP(B23,Assumptions!$A$8:$E$129,4+B$2))^(A23-2012)</f>
        <v>0.7397003733882801</v>
      </c>
      <c r="E23" s="1">
        <f t="shared" si="10"/>
        <v>4.0270028027631362E-2</v>
      </c>
      <c r="F23" s="1">
        <f t="shared" si="6"/>
        <v>0.95972997197236865</v>
      </c>
      <c r="G23" s="1">
        <f t="shared" si="11"/>
        <v>0.72884834722029346</v>
      </c>
      <c r="H23" s="1">
        <f t="shared" si="1"/>
        <v>0.27115165277970654</v>
      </c>
      <c r="I23" s="20">
        <f t="shared" si="0"/>
        <v>0</v>
      </c>
      <c r="J23" s="20">
        <f t="shared" si="2"/>
        <v>0</v>
      </c>
      <c r="K23" s="1"/>
    </row>
    <row r="24" spans="1:11" x14ac:dyDescent="0.4">
      <c r="A24" s="1">
        <f t="shared" si="8"/>
        <v>2043</v>
      </c>
      <c r="B24" s="1">
        <f t="shared" si="9"/>
        <v>86</v>
      </c>
      <c r="C24" s="1" t="str">
        <f>VLOOKUP(B24,Assumptions!$A$8:$D$129,2+B$2)</f>
        <v>0.061972</v>
      </c>
      <c r="D24" s="1">
        <f>(1-VLOOKUP(B24,Assumptions!$A$8:$E$129,4+B$2))^(A24-2012)</f>
        <v>0.75558493283502159</v>
      </c>
      <c r="E24" s="1">
        <f t="shared" si="10"/>
        <v>4.6825109457651955E-2</v>
      </c>
      <c r="F24" s="1">
        <f t="shared" si="6"/>
        <v>0.95317489054234805</v>
      </c>
      <c r="G24" s="1">
        <f t="shared" si="11"/>
        <v>0.6947199435836745</v>
      </c>
      <c r="H24" s="1">
        <f t="shared" si="1"/>
        <v>0.3052800564163255</v>
      </c>
      <c r="I24" s="20">
        <f t="shared" si="0"/>
        <v>0</v>
      </c>
      <c r="J24" s="20">
        <f t="shared" si="2"/>
        <v>0</v>
      </c>
      <c r="K24" s="1"/>
    </row>
    <row r="25" spans="1:11" x14ac:dyDescent="0.4">
      <c r="A25" s="1">
        <f t="shared" si="8"/>
        <v>2044</v>
      </c>
      <c r="B25" s="1">
        <f t="shared" si="9"/>
        <v>87</v>
      </c>
      <c r="C25" s="1" t="str">
        <f>VLOOKUP(B25,Assumptions!$A$8:$D$129,2+B$2)</f>
        <v>0.070155</v>
      </c>
      <c r="D25" s="1">
        <f>(1-VLOOKUP(B25,Assumptions!$A$8:$E$129,4+B$2))^(A25-2012)</f>
        <v>0.7733454041380865</v>
      </c>
      <c r="E25" s="1">
        <f t="shared" si="10"/>
        <v>5.4254046827307452E-2</v>
      </c>
      <c r="F25" s="1">
        <f t="shared" si="6"/>
        <v>0.9457459531726925</v>
      </c>
      <c r="G25" s="1">
        <f t="shared" si="11"/>
        <v>0.65702857523262137</v>
      </c>
      <c r="H25" s="1">
        <f t="shared" si="1"/>
        <v>0.34297142476737863</v>
      </c>
      <c r="I25" s="20">
        <f t="shared" si="0"/>
        <v>0</v>
      </c>
      <c r="J25" s="20">
        <f t="shared" si="2"/>
        <v>0</v>
      </c>
      <c r="K25" s="1"/>
    </row>
    <row r="26" spans="1:11" x14ac:dyDescent="0.4">
      <c r="A26" s="1">
        <f t="shared" ref="A26:A66" si="12">A25+1</f>
        <v>2045</v>
      </c>
      <c r="B26" s="1">
        <f t="shared" ref="B26:B66" si="13">B25+1</f>
        <v>88</v>
      </c>
      <c r="C26" s="1" t="str">
        <f>VLOOKUP(B26,Assumptions!$A$8:$D$129,2+B$2)</f>
        <v>0.078963</v>
      </c>
      <c r="D26" s="1">
        <f>(1-VLOOKUP(B26,Assumptions!$A$8:$E$129,4+B$2))^(A26-2012)</f>
        <v>0.79309497887840852</v>
      </c>
      <c r="E26" s="1">
        <f t="shared" ref="E26:E66" si="14">C26*D26</f>
        <v>6.2625158817175772E-2</v>
      </c>
      <c r="F26" s="1">
        <f t="shared" si="6"/>
        <v>0.93737484118282421</v>
      </c>
      <c r="G26" s="1">
        <f t="shared" ref="G26:G66" si="15">G25*F26</f>
        <v>0.6158820563612557</v>
      </c>
      <c r="H26" s="1">
        <f t="shared" si="1"/>
        <v>0.3841179436387443</v>
      </c>
      <c r="I26" s="20">
        <f t="shared" si="0"/>
        <v>0</v>
      </c>
      <c r="J26" s="20">
        <f t="shared" si="2"/>
        <v>0</v>
      </c>
      <c r="K26" s="1"/>
    </row>
    <row r="27" spans="1:11" x14ac:dyDescent="0.4">
      <c r="A27" s="1">
        <f t="shared" si="12"/>
        <v>2046</v>
      </c>
      <c r="B27" s="1">
        <f t="shared" si="13"/>
        <v>89</v>
      </c>
      <c r="C27" s="1" t="str">
        <f>VLOOKUP(B27,Assumptions!$A$8:$D$129,2+B$2)</f>
        <v>0.088336</v>
      </c>
      <c r="D27" s="1">
        <f>(1-VLOOKUP(B27,Assumptions!$A$8:$E$129,4+B$2))^(A27-2012)</f>
        <v>0.78754331402625966</v>
      </c>
      <c r="E27" s="1">
        <f t="shared" si="14"/>
        <v>6.9568426187823676E-2</v>
      </c>
      <c r="F27" s="1">
        <f t="shared" si="6"/>
        <v>0.93043157381217634</v>
      </c>
      <c r="G27" s="1">
        <f t="shared" si="15"/>
        <v>0.57303611098288265</v>
      </c>
      <c r="H27" s="1">
        <f t="shared" si="1"/>
        <v>0.42696388901711735</v>
      </c>
      <c r="I27" s="20">
        <f t="shared" si="0"/>
        <v>0</v>
      </c>
      <c r="J27" s="20">
        <f t="shared" si="2"/>
        <v>0</v>
      </c>
      <c r="K27" s="1"/>
    </row>
    <row r="28" spans="1:11" x14ac:dyDescent="0.4">
      <c r="A28" s="1">
        <f t="shared" si="12"/>
        <v>2047</v>
      </c>
      <c r="B28" s="1">
        <f t="shared" si="13"/>
        <v>90</v>
      </c>
      <c r="C28" s="1" t="str">
        <f>VLOOKUP(B28,Assumptions!$A$8:$D$129,2+B$2)</f>
        <v>0.098197</v>
      </c>
      <c r="D28" s="1">
        <f>(1-VLOOKUP(B28,Assumptions!$A$8:$E$129,4+B$2))^(A28-2012)</f>
        <v>0.81007168810811669</v>
      </c>
      <c r="E28" s="1">
        <f t="shared" si="14"/>
        <v>7.9546609557152745E-2</v>
      </c>
      <c r="F28" s="1">
        <f t="shared" si="6"/>
        <v>0.92045339044284724</v>
      </c>
      <c r="G28" s="1">
        <f t="shared" si="15"/>
        <v>0.52745303120037801</v>
      </c>
      <c r="H28" s="1">
        <f t="shared" si="1"/>
        <v>0.47254696879962199</v>
      </c>
      <c r="I28" s="20">
        <f t="shared" si="0"/>
        <v>0</v>
      </c>
      <c r="J28" s="20">
        <f t="shared" si="2"/>
        <v>0</v>
      </c>
      <c r="K28" s="1"/>
    </row>
    <row r="29" spans="1:11" x14ac:dyDescent="0.4">
      <c r="A29" s="1">
        <f t="shared" si="12"/>
        <v>2048</v>
      </c>
      <c r="B29" s="1">
        <f t="shared" si="13"/>
        <v>91</v>
      </c>
      <c r="C29" s="1" t="str">
        <f>VLOOKUP(B29,Assumptions!$A$8:$D$129,2+B$2)</f>
        <v>0.108323</v>
      </c>
      <c r="D29" s="1">
        <f>(1-VLOOKUP(B29,Assumptions!$A$8:$E$129,4+B$2))^(A29-2012)</f>
        <v>0.80521125797946802</v>
      </c>
      <c r="E29" s="1">
        <f t="shared" si="14"/>
        <v>8.7222899098109916E-2</v>
      </c>
      <c r="F29" s="1">
        <f t="shared" si="6"/>
        <v>0.91277710090189013</v>
      </c>
      <c r="G29" s="1">
        <f t="shared" si="15"/>
        <v>0.48144704868099525</v>
      </c>
      <c r="H29" s="1">
        <f t="shared" si="1"/>
        <v>0.51855295131900481</v>
      </c>
      <c r="I29" s="20">
        <f t="shared" si="0"/>
        <v>0</v>
      </c>
      <c r="J29" s="20">
        <f t="shared" si="2"/>
        <v>0</v>
      </c>
      <c r="K29" s="1"/>
    </row>
    <row r="30" spans="1:11" x14ac:dyDescent="0.4">
      <c r="A30" s="1">
        <f t="shared" si="12"/>
        <v>2049</v>
      </c>
      <c r="B30" s="1">
        <f t="shared" si="13"/>
        <v>92</v>
      </c>
      <c r="C30" s="1" t="str">
        <f>VLOOKUP(B30,Assumptions!$A$8:$D$129,2+B$2)</f>
        <v>0.119188</v>
      </c>
      <c r="D30" s="1">
        <f>(1-VLOOKUP(B30,Assumptions!$A$8:$E$129,4+B$2))^(A30-2012)</f>
        <v>0.83071870148213323</v>
      </c>
      <c r="E30" s="1">
        <f t="shared" si="14"/>
        <v>9.9011700592252491E-2</v>
      </c>
      <c r="F30" s="1">
        <f t="shared" si="6"/>
        <v>0.90098829940774749</v>
      </c>
      <c r="G30" s="1">
        <f t="shared" si="15"/>
        <v>0.43377815764596894</v>
      </c>
      <c r="H30" s="1">
        <f t="shared" si="1"/>
        <v>0.56622184235403106</v>
      </c>
      <c r="I30" s="20">
        <f t="shared" si="0"/>
        <v>0</v>
      </c>
      <c r="J30" s="20">
        <f t="shared" si="2"/>
        <v>0</v>
      </c>
      <c r="K30" s="1"/>
    </row>
    <row r="31" spans="1:11" x14ac:dyDescent="0.4">
      <c r="A31" s="1">
        <f t="shared" si="12"/>
        <v>2050</v>
      </c>
      <c r="B31" s="1">
        <f t="shared" si="13"/>
        <v>93</v>
      </c>
      <c r="C31" s="1" t="str">
        <f>VLOOKUP(B31,Assumptions!$A$8:$D$129,2+B$2)</f>
        <v>0.131334</v>
      </c>
      <c r="D31" s="1">
        <f>(1-VLOOKUP(B31,Assumptions!$A$8:$E$129,4+B$2))^(A31-2012)</f>
        <v>0.82656510797472249</v>
      </c>
      <c r="E31" s="1">
        <f t="shared" si="14"/>
        <v>0.10855610189075221</v>
      </c>
      <c r="F31" s="1">
        <f t="shared" si="6"/>
        <v>0.89144389810924785</v>
      </c>
      <c r="G31" s="1">
        <f t="shared" si="15"/>
        <v>0.3866888917665704</v>
      </c>
      <c r="H31" s="1">
        <f t="shared" si="1"/>
        <v>0.6133111082334296</v>
      </c>
      <c r="I31" s="20">
        <f t="shared" si="0"/>
        <v>0</v>
      </c>
      <c r="J31" s="20">
        <f t="shared" si="2"/>
        <v>0</v>
      </c>
      <c r="K31" s="1"/>
    </row>
    <row r="32" spans="1:11" x14ac:dyDescent="0.4">
      <c r="A32" s="1">
        <f t="shared" si="12"/>
        <v>2051</v>
      </c>
      <c r="B32" s="1">
        <f t="shared" si="13"/>
        <v>94</v>
      </c>
      <c r="C32" s="1" t="str">
        <f>VLOOKUP(B32,Assumptions!$A$8:$D$129,2+B$2)</f>
        <v>0.145521</v>
      </c>
      <c r="D32" s="1">
        <f>(1-VLOOKUP(B32,Assumptions!$A$8:$E$129,4+B$2))^(A32-2012)</f>
        <v>0.85529158379651171</v>
      </c>
      <c r="E32" s="1">
        <f t="shared" si="14"/>
        <v>0.12446288656565219</v>
      </c>
      <c r="F32" s="1">
        <f t="shared" si="6"/>
        <v>0.87553711343434781</v>
      </c>
      <c r="G32" s="1">
        <f t="shared" si="15"/>
        <v>0.33856047609442996</v>
      </c>
      <c r="H32" s="1">
        <f t="shared" si="1"/>
        <v>0.66143952390557004</v>
      </c>
      <c r="I32" s="20">
        <f t="shared" si="0"/>
        <v>0</v>
      </c>
      <c r="J32" s="20">
        <f t="shared" si="2"/>
        <v>0</v>
      </c>
      <c r="K32" s="1"/>
    </row>
    <row r="33" spans="1:11" x14ac:dyDescent="0.4">
      <c r="A33" s="1">
        <f t="shared" si="12"/>
        <v>2052</v>
      </c>
      <c r="B33" s="1">
        <f t="shared" si="13"/>
        <v>95</v>
      </c>
      <c r="C33" s="1" t="str">
        <f>VLOOKUP(B33,Assumptions!$A$8:$D$129,2+B$2)</f>
        <v>0.162722</v>
      </c>
      <c r="D33" s="1">
        <f>(1-VLOOKUP(B33,Assumptions!$A$8:$E$129,4+B$2))^(A33-2012)</f>
        <v>0.85187041746132575</v>
      </c>
      <c r="E33" s="1">
        <f t="shared" si="14"/>
        <v>0.13861805807014185</v>
      </c>
      <c r="F33" s="1">
        <f t="shared" si="6"/>
        <v>0.86138194192985817</v>
      </c>
      <c r="G33" s="1">
        <f t="shared" si="15"/>
        <v>0.2916298803589174</v>
      </c>
      <c r="H33" s="1">
        <f t="shared" si="1"/>
        <v>0.70837011964108254</v>
      </c>
      <c r="I33" s="20">
        <f t="shared" si="0"/>
        <v>0</v>
      </c>
      <c r="J33" s="20">
        <f t="shared" si="2"/>
        <v>0</v>
      </c>
      <c r="K33" s="1"/>
    </row>
    <row r="34" spans="1:11" x14ac:dyDescent="0.4">
      <c r="A34" s="1">
        <f t="shared" si="12"/>
        <v>2053</v>
      </c>
      <c r="B34" s="1">
        <f t="shared" si="13"/>
        <v>96</v>
      </c>
      <c r="C34" s="1" t="str">
        <f>VLOOKUP(B34,Assumptions!$A$8:$D$129,2+B$2)</f>
        <v>0.18212</v>
      </c>
      <c r="D34" s="1">
        <f>(1-VLOOKUP(B34,Assumptions!$A$8:$E$129,4+B$2))^(A34-2012)</f>
        <v>0.84846293579148047</v>
      </c>
      <c r="E34" s="1">
        <f t="shared" si="14"/>
        <v>0.15452206986634442</v>
      </c>
      <c r="F34" s="1">
        <f t="shared" si="6"/>
        <v>0.84547793013365558</v>
      </c>
      <c r="G34" s="1">
        <f t="shared" si="15"/>
        <v>0.24656662761098311</v>
      </c>
      <c r="H34" s="1">
        <f t="shared" si="1"/>
        <v>0.75343337238901686</v>
      </c>
      <c r="I34" s="20">
        <f t="shared" si="0"/>
        <v>0</v>
      </c>
      <c r="J34" s="20">
        <f t="shared" si="2"/>
        <v>0</v>
      </c>
      <c r="K34" s="1"/>
    </row>
    <row r="35" spans="1:11" x14ac:dyDescent="0.4">
      <c r="A35" s="1">
        <f t="shared" si="12"/>
        <v>2054</v>
      </c>
      <c r="B35" s="1">
        <f t="shared" si="13"/>
        <v>97</v>
      </c>
      <c r="C35" s="1" t="str">
        <f>VLOOKUP(B35,Assumptions!$A$8:$D$129,2+B$2)</f>
        <v>0.199661</v>
      </c>
      <c r="D35" s="1">
        <f>(1-VLOOKUP(B35,Assumptions!$A$8:$E$129,4+B$2))^(A35-2012)</f>
        <v>0.88144790338361856</v>
      </c>
      <c r="E35" s="1">
        <f t="shared" si="14"/>
        <v>0.17599076983747666</v>
      </c>
      <c r="F35" s="1">
        <f t="shared" si="6"/>
        <v>0.82400923016252337</v>
      </c>
      <c r="G35" s="1">
        <f t="shared" si="15"/>
        <v>0.20317317700149576</v>
      </c>
      <c r="H35" s="1">
        <f t="shared" si="1"/>
        <v>0.79682682299850427</v>
      </c>
      <c r="I35" s="20">
        <f t="shared" si="0"/>
        <v>0</v>
      </c>
      <c r="J35" s="20">
        <f t="shared" si="2"/>
        <v>0</v>
      </c>
      <c r="K35" s="1"/>
    </row>
    <row r="36" spans="1:11" x14ac:dyDescent="0.4">
      <c r="A36" s="1">
        <f t="shared" si="12"/>
        <v>2055</v>
      </c>
      <c r="B36" s="1">
        <f t="shared" si="13"/>
        <v>98</v>
      </c>
      <c r="C36" s="1" t="str">
        <f>VLOOKUP(B36,Assumptions!$A$8:$D$129,2+B$2)</f>
        <v>0.217946</v>
      </c>
      <c r="D36" s="1">
        <f>(1-VLOOKUP(B36,Assumptions!$A$8:$E$129,4+B$2))^(A36-2012)</f>
        <v>0.87880355967346768</v>
      </c>
      <c r="E36" s="1">
        <f t="shared" si="14"/>
        <v>0.1915317206165936</v>
      </c>
      <c r="F36" s="1">
        <f t="shared" si="6"/>
        <v>0.80846827938340637</v>
      </c>
      <c r="G36" s="1">
        <f t="shared" si="15"/>
        <v>0.16425906882725955</v>
      </c>
      <c r="H36" s="1">
        <f t="shared" si="1"/>
        <v>0.8357409311727404</v>
      </c>
      <c r="I36" s="20">
        <f t="shared" si="0"/>
        <v>0</v>
      </c>
      <c r="J36" s="20">
        <f t="shared" si="2"/>
        <v>0</v>
      </c>
      <c r="K36" s="1"/>
    </row>
    <row r="37" spans="1:11" x14ac:dyDescent="0.4">
      <c r="A37" s="1">
        <f t="shared" si="12"/>
        <v>2056</v>
      </c>
      <c r="B37" s="1">
        <f t="shared" si="13"/>
        <v>99</v>
      </c>
      <c r="C37" s="1" t="str">
        <f>VLOOKUP(B37,Assumptions!$A$8:$D$129,2+B$2)</f>
        <v>0.236834</v>
      </c>
      <c r="D37" s="1">
        <f>(1-VLOOKUP(B37,Assumptions!$A$8:$E$129,4+B$2))^(A37-2012)</f>
        <v>0.91568018571066367</v>
      </c>
      <c r="E37" s="1">
        <f t="shared" si="14"/>
        <v>0.21686420110259932</v>
      </c>
      <c r="F37" s="1">
        <f t="shared" si="6"/>
        <v>0.7831357988974007</v>
      </c>
      <c r="G37" s="1">
        <f t="shared" si="15"/>
        <v>0.12863715709217904</v>
      </c>
      <c r="H37" s="1">
        <f t="shared" si="1"/>
        <v>0.87136284290782096</v>
      </c>
      <c r="I37" s="20">
        <f t="shared" si="0"/>
        <v>0</v>
      </c>
      <c r="J37" s="20">
        <f t="shared" si="2"/>
        <v>0</v>
      </c>
      <c r="K37" s="1"/>
    </row>
    <row r="38" spans="1:11" x14ac:dyDescent="0.4">
      <c r="A38" s="1">
        <f t="shared" si="12"/>
        <v>2057</v>
      </c>
      <c r="B38" s="1">
        <f t="shared" si="13"/>
        <v>100</v>
      </c>
      <c r="C38" s="1" t="str">
        <f>VLOOKUP(B38,Assumptions!$A$8:$D$129,2+B$2)</f>
        <v>0.256357</v>
      </c>
      <c r="D38" s="1">
        <f>(1-VLOOKUP(B38,Assumptions!$A$8:$E$129,4+B$2))^(A38-2012)</f>
        <v>0.91384882533924217</v>
      </c>
      <c r="E38" s="1">
        <f t="shared" si="14"/>
        <v>0.23427154331749211</v>
      </c>
      <c r="F38" s="1">
        <f t="shared" si="6"/>
        <v>0.76572845668250789</v>
      </c>
      <c r="G38" s="1">
        <f t="shared" si="15"/>
        <v>9.8501131772219586E-2</v>
      </c>
      <c r="H38" s="1">
        <f t="shared" si="1"/>
        <v>0.90149886822778047</v>
      </c>
      <c r="I38" s="20">
        <f t="shared" ref="I38:I66" si="16">IF(E$2&gt;H38,1,0)</f>
        <v>0</v>
      </c>
      <c r="J38" s="20">
        <f t="shared" si="2"/>
        <v>0</v>
      </c>
      <c r="K38" s="1"/>
    </row>
    <row r="39" spans="1:11" x14ac:dyDescent="0.4">
      <c r="A39" s="1">
        <f t="shared" si="12"/>
        <v>2058</v>
      </c>
      <c r="B39" s="1">
        <f t="shared" si="13"/>
        <v>101</v>
      </c>
      <c r="C39" s="1" t="str">
        <f>VLOOKUP(B39,Assumptions!$A$8:$D$129,2+B$2)</f>
        <v>0.283802</v>
      </c>
      <c r="D39" s="1">
        <f>(1-VLOOKUP(B39,Assumptions!$A$8:$E$129,4+B$2))^(A39-2012)</f>
        <v>0.9120211276885638</v>
      </c>
      <c r="E39" s="1">
        <f t="shared" si="14"/>
        <v>0.25883342008026977</v>
      </c>
      <c r="F39" s="1">
        <f t="shared" si="6"/>
        <v>0.74116657991973023</v>
      </c>
      <c r="G39" s="1">
        <f t="shared" si="15"/>
        <v>7.3005746953838671E-2</v>
      </c>
      <c r="H39" s="1">
        <f t="shared" si="1"/>
        <v>0.92699425304616134</v>
      </c>
      <c r="I39" s="20">
        <f t="shared" si="16"/>
        <v>0</v>
      </c>
      <c r="J39" s="20">
        <f t="shared" si="2"/>
        <v>0</v>
      </c>
      <c r="K39" s="1"/>
    </row>
    <row r="40" spans="1:11" x14ac:dyDescent="0.4">
      <c r="A40" s="1">
        <f t="shared" si="12"/>
        <v>2059</v>
      </c>
      <c r="B40" s="1">
        <f t="shared" si="13"/>
        <v>102</v>
      </c>
      <c r="C40" s="1" t="str">
        <f>VLOOKUP(B40,Assumptions!$A$8:$D$129,2+B$2)</f>
        <v>0.304716</v>
      </c>
      <c r="D40" s="1">
        <f>(1-VLOOKUP(B40,Assumptions!$A$8:$E$129,4+B$2))^(A40-2012)</f>
        <v>0.95406496184173628</v>
      </c>
      <c r="E40" s="1">
        <f t="shared" si="14"/>
        <v>0.29071885891256649</v>
      </c>
      <c r="F40" s="1">
        <f t="shared" si="6"/>
        <v>0.70928114108743356</v>
      </c>
      <c r="G40" s="1">
        <f t="shared" si="15"/>
        <v>5.178159950535912E-2</v>
      </c>
      <c r="H40" s="1">
        <f t="shared" si="1"/>
        <v>0.9482184004946409</v>
      </c>
      <c r="I40" s="20">
        <f t="shared" si="16"/>
        <v>0</v>
      </c>
      <c r="J40" s="20">
        <f t="shared" si="2"/>
        <v>0</v>
      </c>
      <c r="K40" s="1"/>
    </row>
    <row r="41" spans="1:11" x14ac:dyDescent="0.4">
      <c r="A41" s="1">
        <f t="shared" si="12"/>
        <v>2060</v>
      </c>
      <c r="B41" s="1">
        <f t="shared" si="13"/>
        <v>103</v>
      </c>
      <c r="C41" s="1" t="str">
        <f>VLOOKUP(B41,Assumptions!$A$8:$D$129,2+B$2)</f>
        <v>0.325819</v>
      </c>
      <c r="D41" s="1">
        <f>(1-VLOOKUP(B41,Assumptions!$A$8:$E$129,4+B$2))^(A41-2012)</f>
        <v>0.9531108968798947</v>
      </c>
      <c r="E41" s="1">
        <f t="shared" si="14"/>
        <v>0.31054163931051043</v>
      </c>
      <c r="F41" s="1">
        <f t="shared" si="6"/>
        <v>0.68945836068948951</v>
      </c>
      <c r="G41" s="1">
        <f t="shared" si="15"/>
        <v>3.5701256708844581E-2</v>
      </c>
      <c r="H41" s="1">
        <f t="shared" si="1"/>
        <v>0.96429874329115539</v>
      </c>
      <c r="I41" s="20">
        <f t="shared" si="16"/>
        <v>0</v>
      </c>
      <c r="J41" s="20">
        <f t="shared" si="2"/>
        <v>0</v>
      </c>
      <c r="K41" s="1"/>
    </row>
    <row r="42" spans="1:11" x14ac:dyDescent="0.4">
      <c r="A42" s="1">
        <f t="shared" si="12"/>
        <v>2061</v>
      </c>
      <c r="B42" s="1">
        <f t="shared" si="13"/>
        <v>104</v>
      </c>
      <c r="C42" s="1" t="str">
        <f>VLOOKUP(B42,Assumptions!$A$8:$D$129,2+B$2)</f>
        <v>0.346936</v>
      </c>
      <c r="D42" s="1">
        <f>(1-VLOOKUP(B42,Assumptions!$A$8:$E$129,4+B$2))^(A42-2012)</f>
        <v>1</v>
      </c>
      <c r="E42" s="1">
        <f t="shared" si="14"/>
        <v>0.34693600000000002</v>
      </c>
      <c r="F42" s="1">
        <f t="shared" si="6"/>
        <v>0.65306399999999998</v>
      </c>
      <c r="G42" s="1">
        <f t="shared" si="15"/>
        <v>2.3315205511304875E-2</v>
      </c>
      <c r="H42" s="1">
        <f t="shared" si="1"/>
        <v>0.97668479448869516</v>
      </c>
      <c r="I42" s="20">
        <f t="shared" si="16"/>
        <v>0</v>
      </c>
      <c r="J42" s="20">
        <f t="shared" si="2"/>
        <v>0</v>
      </c>
      <c r="K42" s="1"/>
    </row>
    <row r="43" spans="1:11" x14ac:dyDescent="0.4">
      <c r="A43" s="1">
        <f t="shared" si="12"/>
        <v>2062</v>
      </c>
      <c r="B43" s="1">
        <f t="shared" si="13"/>
        <v>105</v>
      </c>
      <c r="C43" s="1" t="str">
        <f>VLOOKUP(B43,Assumptions!$A$8:$D$129,2+B$2)</f>
        <v>0.367898</v>
      </c>
      <c r="D43" s="1">
        <f>(1-VLOOKUP(B43,Assumptions!$A$8:$E$129,4+B$2))^(A43-2012)</f>
        <v>1</v>
      </c>
      <c r="E43" s="1">
        <f t="shared" si="14"/>
        <v>0.367898</v>
      </c>
      <c r="F43" s="1">
        <f t="shared" si="6"/>
        <v>0.63210199999999994</v>
      </c>
      <c r="G43" s="1">
        <f t="shared" si="15"/>
        <v>1.4737588034106833E-2</v>
      </c>
      <c r="H43" s="1">
        <f t="shared" si="1"/>
        <v>0.98526241196589315</v>
      </c>
      <c r="I43" s="20">
        <f t="shared" si="16"/>
        <v>0</v>
      </c>
      <c r="J43" s="20">
        <f t="shared" si="2"/>
        <v>0</v>
      </c>
      <c r="K43" s="1"/>
    </row>
    <row r="44" spans="1:11" x14ac:dyDescent="0.4">
      <c r="A44" s="1">
        <f t="shared" si="12"/>
        <v>2063</v>
      </c>
      <c r="B44" s="1">
        <f t="shared" si="13"/>
        <v>106</v>
      </c>
      <c r="C44" s="1" t="str">
        <f>VLOOKUP(B44,Assumptions!$A$8:$D$129,2+B$2)</f>
        <v>0.387607</v>
      </c>
      <c r="D44" s="1">
        <f>(1-VLOOKUP(B44,Assumptions!$A$8:$E$129,4+B$2))^(A44-2012)</f>
        <v>1</v>
      </c>
      <c r="E44" s="1">
        <f t="shared" si="14"/>
        <v>0.38760699999999998</v>
      </c>
      <c r="F44" s="1">
        <f t="shared" si="6"/>
        <v>0.61239299999999997</v>
      </c>
      <c r="G44" s="1">
        <f t="shared" si="15"/>
        <v>9.0251957489707844E-3</v>
      </c>
      <c r="H44" s="1">
        <f t="shared" si="1"/>
        <v>0.99097480425102924</v>
      </c>
      <c r="I44" s="20">
        <f t="shared" si="16"/>
        <v>0</v>
      </c>
      <c r="J44" s="20">
        <f t="shared" si="2"/>
        <v>0</v>
      </c>
      <c r="K44" s="1"/>
    </row>
    <row r="45" spans="1:11" x14ac:dyDescent="0.4">
      <c r="A45" s="1">
        <f t="shared" si="12"/>
        <v>2064</v>
      </c>
      <c r="B45" s="1">
        <f t="shared" si="13"/>
        <v>107</v>
      </c>
      <c r="C45" s="1" t="str">
        <f>VLOOKUP(B45,Assumptions!$A$8:$D$129,2+B$2)</f>
        <v>0.4</v>
      </c>
      <c r="D45" s="1">
        <f>(1-VLOOKUP(B45,Assumptions!$A$8:$E$129,4+B$2))^(A45-2012)</f>
        <v>1</v>
      </c>
      <c r="E45" s="1">
        <f t="shared" si="14"/>
        <v>0.4</v>
      </c>
      <c r="F45" s="1">
        <f t="shared" si="6"/>
        <v>0.6</v>
      </c>
      <c r="G45" s="1">
        <f t="shared" si="15"/>
        <v>5.4151174493824701E-3</v>
      </c>
      <c r="H45" s="1">
        <f t="shared" si="1"/>
        <v>0.9945848825506175</v>
      </c>
      <c r="I45" s="20">
        <f t="shared" si="16"/>
        <v>0</v>
      </c>
      <c r="J45" s="20">
        <f t="shared" si="2"/>
        <v>0</v>
      </c>
      <c r="K45" s="1"/>
    </row>
    <row r="46" spans="1:11" x14ac:dyDescent="0.4">
      <c r="A46" s="1">
        <f t="shared" si="12"/>
        <v>2065</v>
      </c>
      <c r="B46" s="1">
        <f t="shared" si="13"/>
        <v>108</v>
      </c>
      <c r="C46" s="1" t="str">
        <f>VLOOKUP(B46,Assumptions!$A$8:$D$129,2+B$2)</f>
        <v>0.4</v>
      </c>
      <c r="D46" s="1">
        <f>(1-VLOOKUP(B46,Assumptions!$A$8:$E$129,4+B$2))^(A46-2012)</f>
        <v>1</v>
      </c>
      <c r="E46" s="1">
        <f t="shared" si="14"/>
        <v>0.4</v>
      </c>
      <c r="F46" s="1">
        <f t="shared" si="6"/>
        <v>0.6</v>
      </c>
      <c r="G46" s="1">
        <f t="shared" si="15"/>
        <v>3.2490704696294822E-3</v>
      </c>
      <c r="H46" s="1">
        <f t="shared" si="1"/>
        <v>0.99675092953037048</v>
      </c>
      <c r="I46" s="20">
        <f t="shared" si="16"/>
        <v>0</v>
      </c>
      <c r="J46" s="20">
        <f t="shared" si="2"/>
        <v>0</v>
      </c>
      <c r="K46" s="1"/>
    </row>
    <row r="47" spans="1:11" x14ac:dyDescent="0.4">
      <c r="A47" s="1">
        <f t="shared" si="12"/>
        <v>2066</v>
      </c>
      <c r="B47" s="1">
        <f t="shared" si="13"/>
        <v>109</v>
      </c>
      <c r="C47" s="1" t="str">
        <f>VLOOKUP(B47,Assumptions!$A$8:$D$129,2+B$2)</f>
        <v>0.4</v>
      </c>
      <c r="D47" s="1">
        <f>(1-VLOOKUP(B47,Assumptions!$A$8:$E$129,4+B$2))^(A47-2012)</f>
        <v>1</v>
      </c>
      <c r="E47" s="1">
        <f t="shared" si="14"/>
        <v>0.4</v>
      </c>
      <c r="F47" s="1">
        <f t="shared" si="6"/>
        <v>0.6</v>
      </c>
      <c r="G47" s="1">
        <f t="shared" si="15"/>
        <v>1.9494422817776893E-3</v>
      </c>
      <c r="H47" s="1">
        <f t="shared" si="1"/>
        <v>0.99805055771822226</v>
      </c>
      <c r="I47" s="20">
        <f t="shared" si="16"/>
        <v>0</v>
      </c>
      <c r="J47" s="20">
        <f t="shared" si="2"/>
        <v>0</v>
      </c>
      <c r="K47" s="1"/>
    </row>
    <row r="48" spans="1:11" x14ac:dyDescent="0.4">
      <c r="A48" s="1">
        <f t="shared" si="12"/>
        <v>2067</v>
      </c>
      <c r="B48" s="1">
        <f t="shared" si="13"/>
        <v>110</v>
      </c>
      <c r="C48" s="1" t="str">
        <f>VLOOKUP(B48,Assumptions!$A$8:$D$129,2+B$2)</f>
        <v>0.4</v>
      </c>
      <c r="D48" s="1">
        <f>(1-VLOOKUP(B48,Assumptions!$A$8:$E$129,4+B$2))^(A48-2012)</f>
        <v>1</v>
      </c>
      <c r="E48" s="1">
        <f t="shared" si="14"/>
        <v>0.4</v>
      </c>
      <c r="F48" s="1">
        <f t="shared" si="6"/>
        <v>0.6</v>
      </c>
      <c r="G48" s="1">
        <f t="shared" si="15"/>
        <v>1.1696653690666135E-3</v>
      </c>
      <c r="H48" s="1">
        <f t="shared" si="1"/>
        <v>0.9988303346309334</v>
      </c>
      <c r="I48" s="20">
        <f t="shared" si="16"/>
        <v>0</v>
      </c>
      <c r="J48" s="20">
        <f t="shared" si="2"/>
        <v>0</v>
      </c>
      <c r="K48" s="1"/>
    </row>
    <row r="49" spans="1:11" x14ac:dyDescent="0.4">
      <c r="A49" s="1">
        <f t="shared" si="12"/>
        <v>2068</v>
      </c>
      <c r="B49" s="1">
        <f t="shared" si="13"/>
        <v>111</v>
      </c>
      <c r="C49" s="1" t="str">
        <f>VLOOKUP(B49,Assumptions!$A$8:$D$129,2+B$2)</f>
        <v>0.4</v>
      </c>
      <c r="D49" s="1">
        <f>(1-VLOOKUP(B49,Assumptions!$A$8:$E$129,4+B$2))^(A49-2012)</f>
        <v>1</v>
      </c>
      <c r="E49" s="1">
        <f t="shared" si="14"/>
        <v>0.4</v>
      </c>
      <c r="F49" s="1">
        <f t="shared" si="6"/>
        <v>0.6</v>
      </c>
      <c r="G49" s="1">
        <f t="shared" si="15"/>
        <v>7.0179922143996805E-4</v>
      </c>
      <c r="H49" s="1">
        <f t="shared" si="1"/>
        <v>0.99929820077856002</v>
      </c>
      <c r="I49" s="20">
        <f t="shared" si="16"/>
        <v>0</v>
      </c>
      <c r="J49" s="20">
        <f t="shared" si="2"/>
        <v>0</v>
      </c>
      <c r="K49" s="1"/>
    </row>
    <row r="50" spans="1:11" x14ac:dyDescent="0.4">
      <c r="A50" s="1">
        <f t="shared" si="12"/>
        <v>2069</v>
      </c>
      <c r="B50" s="1">
        <f t="shared" si="13"/>
        <v>112</v>
      </c>
      <c r="C50" s="1" t="str">
        <f>VLOOKUP(B50,Assumptions!$A$8:$D$129,2+B$2)</f>
        <v>0.4</v>
      </c>
      <c r="D50" s="1">
        <f>(1-VLOOKUP(B50,Assumptions!$A$8:$E$129,4+B$2))^(A50-2012)</f>
        <v>1</v>
      </c>
      <c r="E50" s="1">
        <f t="shared" si="14"/>
        <v>0.4</v>
      </c>
      <c r="F50" s="1">
        <f t="shared" si="6"/>
        <v>0.6</v>
      </c>
      <c r="G50" s="1">
        <f t="shared" si="15"/>
        <v>4.2107953286398084E-4</v>
      </c>
      <c r="H50" s="1">
        <f t="shared" si="1"/>
        <v>0.99957892046713603</v>
      </c>
      <c r="I50" s="20">
        <f t="shared" si="16"/>
        <v>0</v>
      </c>
      <c r="J50" s="20">
        <f t="shared" si="2"/>
        <v>0</v>
      </c>
      <c r="K50" s="1"/>
    </row>
    <row r="51" spans="1:11" x14ac:dyDescent="0.4">
      <c r="A51" s="1">
        <f t="shared" si="12"/>
        <v>2070</v>
      </c>
      <c r="B51" s="1">
        <f t="shared" si="13"/>
        <v>113</v>
      </c>
      <c r="C51" s="1" t="str">
        <f>VLOOKUP(B51,Assumptions!$A$8:$D$129,2+B$2)</f>
        <v>0.4</v>
      </c>
      <c r="D51" s="1">
        <f>(1-VLOOKUP(B51,Assumptions!$A$8:$E$129,4+B$2))^(A51-2012)</f>
        <v>1</v>
      </c>
      <c r="E51" s="1">
        <f t="shared" si="14"/>
        <v>0.4</v>
      </c>
      <c r="F51" s="1">
        <f t="shared" si="6"/>
        <v>0.6</v>
      </c>
      <c r="G51" s="1">
        <f t="shared" si="15"/>
        <v>2.5264771971838851E-4</v>
      </c>
      <c r="H51" s="1">
        <f t="shared" si="1"/>
        <v>0.99974735228028166</v>
      </c>
      <c r="I51" s="20">
        <f t="shared" si="16"/>
        <v>0</v>
      </c>
      <c r="J51" s="20">
        <f t="shared" si="2"/>
        <v>0</v>
      </c>
      <c r="K51" s="1"/>
    </row>
    <row r="52" spans="1:11" x14ac:dyDescent="0.4">
      <c r="A52" s="1">
        <f t="shared" si="12"/>
        <v>2071</v>
      </c>
      <c r="B52" s="1">
        <f t="shared" si="13"/>
        <v>114</v>
      </c>
      <c r="C52" s="1" t="str">
        <f>VLOOKUP(B52,Assumptions!$A$8:$D$129,2+B$2)</f>
        <v>0.4</v>
      </c>
      <c r="D52" s="1">
        <f>(1-VLOOKUP(B52,Assumptions!$A$8:$E$129,4+B$2))^(A52-2012)</f>
        <v>1</v>
      </c>
      <c r="E52" s="1">
        <f t="shared" si="14"/>
        <v>0.4</v>
      </c>
      <c r="F52" s="1">
        <f t="shared" si="6"/>
        <v>0.6</v>
      </c>
      <c r="G52" s="1">
        <f t="shared" si="15"/>
        <v>1.515886318310331E-4</v>
      </c>
      <c r="H52" s="1">
        <f t="shared" si="1"/>
        <v>0.99984841136816893</v>
      </c>
      <c r="I52" s="20">
        <f t="shared" si="16"/>
        <v>0</v>
      </c>
      <c r="J52" s="20">
        <f t="shared" si="2"/>
        <v>0</v>
      </c>
      <c r="K52" s="1"/>
    </row>
    <row r="53" spans="1:11" x14ac:dyDescent="0.4">
      <c r="A53" s="1">
        <f t="shared" si="12"/>
        <v>2072</v>
      </c>
      <c r="B53" s="1">
        <f t="shared" si="13"/>
        <v>115</v>
      </c>
      <c r="C53" s="1" t="str">
        <f>VLOOKUP(B53,Assumptions!$A$8:$D$129,2+B$2)</f>
        <v>0.4</v>
      </c>
      <c r="D53" s="1">
        <f>(1-VLOOKUP(B53,Assumptions!$A$8:$E$129,4+B$2))^(A53-2012)</f>
        <v>1</v>
      </c>
      <c r="E53" s="1">
        <f t="shared" si="14"/>
        <v>0.4</v>
      </c>
      <c r="F53" s="1">
        <f t="shared" si="6"/>
        <v>0.6</v>
      </c>
      <c r="G53" s="1">
        <f t="shared" si="15"/>
        <v>9.0953179098619854E-5</v>
      </c>
      <c r="H53" s="1">
        <f t="shared" si="1"/>
        <v>0.99990904682090143</v>
      </c>
      <c r="I53" s="20">
        <f t="shared" si="16"/>
        <v>0</v>
      </c>
      <c r="J53" s="20">
        <f t="shared" si="2"/>
        <v>0</v>
      </c>
      <c r="K53" s="1"/>
    </row>
    <row r="54" spans="1:11" x14ac:dyDescent="0.4">
      <c r="A54" s="1">
        <f t="shared" si="12"/>
        <v>2073</v>
      </c>
      <c r="B54" s="1">
        <f t="shared" si="13"/>
        <v>116</v>
      </c>
      <c r="C54" s="1" t="str">
        <f>VLOOKUP(B54,Assumptions!$A$8:$D$129,2+B$2)</f>
        <v>0.4</v>
      </c>
      <c r="D54" s="1">
        <f>(1-VLOOKUP(B54,Assumptions!$A$8:$E$129,4+B$2))^(A54-2012)</f>
        <v>1</v>
      </c>
      <c r="E54" s="1">
        <f t="shared" si="14"/>
        <v>0.4</v>
      </c>
      <c r="F54" s="1">
        <f t="shared" si="6"/>
        <v>0.6</v>
      </c>
      <c r="G54" s="1">
        <f t="shared" si="15"/>
        <v>5.457190745917191E-5</v>
      </c>
      <c r="H54" s="1">
        <f t="shared" si="1"/>
        <v>0.99994542809254083</v>
      </c>
      <c r="I54" s="20">
        <f t="shared" si="16"/>
        <v>0</v>
      </c>
      <c r="J54" s="20">
        <f t="shared" si="2"/>
        <v>0</v>
      </c>
      <c r="K54" s="1"/>
    </row>
    <row r="55" spans="1:11" x14ac:dyDescent="0.4">
      <c r="A55" s="1">
        <f t="shared" si="12"/>
        <v>2074</v>
      </c>
      <c r="B55" s="1">
        <f t="shared" si="13"/>
        <v>117</v>
      </c>
      <c r="C55" s="1" t="str">
        <f>VLOOKUP(B55,Assumptions!$A$8:$D$129,2+B$2)</f>
        <v>0.4</v>
      </c>
      <c r="D55" s="1">
        <f>(1-VLOOKUP(B55,Assumptions!$A$8:$E$129,4+B$2))^(A55-2012)</f>
        <v>1</v>
      </c>
      <c r="E55" s="1">
        <f t="shared" si="14"/>
        <v>0.4</v>
      </c>
      <c r="F55" s="1">
        <f t="shared" si="6"/>
        <v>0.6</v>
      </c>
      <c r="G55" s="1">
        <f t="shared" si="15"/>
        <v>3.2743144475503143E-5</v>
      </c>
      <c r="H55" s="1">
        <f t="shared" si="1"/>
        <v>0.99996725685552446</v>
      </c>
      <c r="I55" s="20">
        <f t="shared" si="16"/>
        <v>0</v>
      </c>
      <c r="J55" s="20">
        <f t="shared" si="2"/>
        <v>0</v>
      </c>
      <c r="K55" s="1"/>
    </row>
    <row r="56" spans="1:11" x14ac:dyDescent="0.4">
      <c r="A56" s="1">
        <f t="shared" si="12"/>
        <v>2075</v>
      </c>
      <c r="B56" s="1">
        <f t="shared" si="13"/>
        <v>118</v>
      </c>
      <c r="C56" s="1" t="str">
        <f>VLOOKUP(B56,Assumptions!$A$8:$D$129,2+B$2)</f>
        <v>0.4</v>
      </c>
      <c r="D56" s="1">
        <f>(1-VLOOKUP(B56,Assumptions!$A$8:$E$129,4+B$2))^(A56-2012)</f>
        <v>1</v>
      </c>
      <c r="E56" s="1">
        <f t="shared" si="14"/>
        <v>0.4</v>
      </c>
      <c r="F56" s="1">
        <f t="shared" si="6"/>
        <v>0.6</v>
      </c>
      <c r="G56" s="1">
        <f t="shared" si="15"/>
        <v>1.9645886685301885E-5</v>
      </c>
      <c r="H56" s="1">
        <f t="shared" si="1"/>
        <v>0.99998035411331465</v>
      </c>
      <c r="I56" s="20">
        <f t="shared" si="16"/>
        <v>0</v>
      </c>
      <c r="J56" s="20">
        <f t="shared" si="2"/>
        <v>0</v>
      </c>
      <c r="K56" s="1"/>
    </row>
    <row r="57" spans="1:11" x14ac:dyDescent="0.4">
      <c r="A57" s="1">
        <f t="shared" si="12"/>
        <v>2076</v>
      </c>
      <c r="B57" s="1">
        <f t="shared" si="13"/>
        <v>119</v>
      </c>
      <c r="C57" s="1" t="str">
        <f>VLOOKUP(B57,Assumptions!$A$8:$D$129,2+B$2)</f>
        <v>0.4</v>
      </c>
      <c r="D57" s="1">
        <f>(1-VLOOKUP(B57,Assumptions!$A$8:$E$129,4+B$2))^(A57-2012)</f>
        <v>1</v>
      </c>
      <c r="E57" s="1">
        <f t="shared" si="14"/>
        <v>0.4</v>
      </c>
      <c r="F57" s="1">
        <f t="shared" si="6"/>
        <v>0.6</v>
      </c>
      <c r="G57" s="1">
        <f t="shared" si="15"/>
        <v>1.1787532011181131E-5</v>
      </c>
      <c r="H57" s="1">
        <f t="shared" si="1"/>
        <v>0.99998821246798886</v>
      </c>
      <c r="I57" s="20">
        <f t="shared" si="16"/>
        <v>0</v>
      </c>
      <c r="J57" s="20">
        <f t="shared" si="2"/>
        <v>0</v>
      </c>
      <c r="K57" s="1"/>
    </row>
    <row r="58" spans="1:11" x14ac:dyDescent="0.4">
      <c r="A58" s="1">
        <f t="shared" si="12"/>
        <v>2077</v>
      </c>
      <c r="B58" s="1">
        <f t="shared" si="13"/>
        <v>120</v>
      </c>
      <c r="C58" s="1" t="str">
        <f>VLOOKUP(B58,Assumptions!$A$8:$D$129,2+B$2)</f>
        <v>0.4</v>
      </c>
      <c r="D58" s="1">
        <f>(1-VLOOKUP(B58,Assumptions!$A$8:$E$129,4+B$2))^(A58-2012)</f>
        <v>1</v>
      </c>
      <c r="E58" s="1">
        <f t="shared" si="14"/>
        <v>0.4</v>
      </c>
      <c r="F58" s="1">
        <f t="shared" si="6"/>
        <v>0.6</v>
      </c>
      <c r="G58" s="1">
        <f t="shared" si="15"/>
        <v>7.0725192067086778E-6</v>
      </c>
      <c r="H58" s="1">
        <f t="shared" si="1"/>
        <v>0.99999292748079327</v>
      </c>
      <c r="I58" s="20">
        <f t="shared" si="16"/>
        <v>0</v>
      </c>
      <c r="J58" s="20">
        <f t="shared" si="2"/>
        <v>0</v>
      </c>
      <c r="K58" s="1"/>
    </row>
    <row r="59" spans="1:11" x14ac:dyDescent="0.4">
      <c r="A59" s="1">
        <f t="shared" si="12"/>
        <v>2078</v>
      </c>
      <c r="B59" s="1">
        <f t="shared" si="13"/>
        <v>121</v>
      </c>
      <c r="C59" s="1">
        <f>VLOOKUP(B59,Assumptions!$A$8:$D$129,2+B$2)</f>
        <v>1</v>
      </c>
      <c r="D59" s="1">
        <f>(1-VLOOKUP(B59,Assumptions!$A$8:$E$129,4+B$2))^(A59-2012)</f>
        <v>1</v>
      </c>
      <c r="E59" s="1">
        <f t="shared" si="14"/>
        <v>1</v>
      </c>
      <c r="F59" s="1">
        <f t="shared" si="6"/>
        <v>0</v>
      </c>
      <c r="G59" s="1">
        <f t="shared" si="15"/>
        <v>0</v>
      </c>
      <c r="H59" s="1">
        <f t="shared" si="1"/>
        <v>1</v>
      </c>
      <c r="I59" s="20">
        <f t="shared" si="16"/>
        <v>0</v>
      </c>
      <c r="J59" s="20">
        <f t="shared" si="2"/>
        <v>0</v>
      </c>
      <c r="K59" s="1"/>
    </row>
    <row r="60" spans="1:11" x14ac:dyDescent="0.4">
      <c r="A60" s="1">
        <f t="shared" si="12"/>
        <v>2079</v>
      </c>
      <c r="B60" s="1">
        <f t="shared" si="13"/>
        <v>122</v>
      </c>
      <c r="C60" s="1">
        <f>VLOOKUP(B60,Assumptions!$A$8:$D$129,2+B$2)</f>
        <v>1</v>
      </c>
      <c r="D60" s="1">
        <f>(1-VLOOKUP(B60,Assumptions!$A$8:$E$129,4+B$2))^(A60-2012)</f>
        <v>1</v>
      </c>
      <c r="E60" s="1">
        <f t="shared" si="14"/>
        <v>1</v>
      </c>
      <c r="F60" s="1">
        <f t="shared" si="6"/>
        <v>0</v>
      </c>
      <c r="G60" s="1">
        <f t="shared" si="15"/>
        <v>0</v>
      </c>
      <c r="H60" s="1">
        <f t="shared" si="1"/>
        <v>1</v>
      </c>
      <c r="I60" s="20">
        <f t="shared" si="16"/>
        <v>0</v>
      </c>
      <c r="J60" s="20">
        <f t="shared" si="2"/>
        <v>0</v>
      </c>
      <c r="K60" s="1"/>
    </row>
    <row r="61" spans="1:11" x14ac:dyDescent="0.4">
      <c r="A61" s="1">
        <f t="shared" si="12"/>
        <v>2080</v>
      </c>
      <c r="B61" s="1">
        <f t="shared" si="13"/>
        <v>123</v>
      </c>
      <c r="C61" s="1">
        <f>VLOOKUP(B61,Assumptions!$A$8:$D$129,2+B$2)</f>
        <v>1</v>
      </c>
      <c r="D61" s="1">
        <f>(1-VLOOKUP(B61,Assumptions!$A$8:$E$129,4+B$2))^(A61-2012)</f>
        <v>1</v>
      </c>
      <c r="E61" s="1">
        <f t="shared" si="14"/>
        <v>1</v>
      </c>
      <c r="F61" s="1">
        <f t="shared" si="6"/>
        <v>0</v>
      </c>
      <c r="G61" s="1">
        <f t="shared" si="15"/>
        <v>0</v>
      </c>
      <c r="H61" s="1">
        <f t="shared" si="1"/>
        <v>1</v>
      </c>
      <c r="I61" s="20">
        <f t="shared" si="16"/>
        <v>0</v>
      </c>
      <c r="J61" s="20">
        <f t="shared" si="2"/>
        <v>0</v>
      </c>
      <c r="K61" s="1"/>
    </row>
    <row r="62" spans="1:11" x14ac:dyDescent="0.4">
      <c r="A62" s="1">
        <f t="shared" si="12"/>
        <v>2081</v>
      </c>
      <c r="B62" s="1">
        <f t="shared" si="13"/>
        <v>124</v>
      </c>
      <c r="C62" s="1">
        <f>VLOOKUP(B62,Assumptions!$A$8:$D$129,2+B$2)</f>
        <v>1</v>
      </c>
      <c r="D62" s="1">
        <f>(1-VLOOKUP(B62,Assumptions!$A$8:$E$129,4+B$2))^(A62-2012)</f>
        <v>1</v>
      </c>
      <c r="E62" s="1">
        <f t="shared" si="14"/>
        <v>1</v>
      </c>
      <c r="F62" s="1">
        <f t="shared" si="6"/>
        <v>0</v>
      </c>
      <c r="G62" s="1">
        <f t="shared" si="15"/>
        <v>0</v>
      </c>
      <c r="H62" s="1">
        <f t="shared" si="1"/>
        <v>1</v>
      </c>
      <c r="I62" s="20">
        <f t="shared" si="16"/>
        <v>0</v>
      </c>
      <c r="J62" s="20">
        <f t="shared" si="2"/>
        <v>0</v>
      </c>
      <c r="K62" s="1"/>
    </row>
    <row r="63" spans="1:11" x14ac:dyDescent="0.4">
      <c r="A63" s="1">
        <f t="shared" si="12"/>
        <v>2082</v>
      </c>
      <c r="B63" s="1">
        <f t="shared" si="13"/>
        <v>125</v>
      </c>
      <c r="C63" s="1">
        <f>VLOOKUP(B63,Assumptions!$A$8:$D$129,2+B$2)</f>
        <v>1</v>
      </c>
      <c r="D63" s="1">
        <f>(1-VLOOKUP(B63,Assumptions!$A$8:$E$129,4+B$2))^(A63-2012)</f>
        <v>1</v>
      </c>
      <c r="E63" s="1">
        <f t="shared" si="14"/>
        <v>1</v>
      </c>
      <c r="F63" s="1">
        <f t="shared" si="6"/>
        <v>0</v>
      </c>
      <c r="G63" s="1">
        <f t="shared" si="15"/>
        <v>0</v>
      </c>
      <c r="H63" s="1">
        <f t="shared" si="1"/>
        <v>1</v>
      </c>
      <c r="I63" s="20">
        <f t="shared" si="16"/>
        <v>0</v>
      </c>
      <c r="J63" s="20">
        <f t="shared" si="2"/>
        <v>0</v>
      </c>
      <c r="K63" s="1"/>
    </row>
    <row r="64" spans="1:11" x14ac:dyDescent="0.4">
      <c r="A64" s="1">
        <f t="shared" si="12"/>
        <v>2083</v>
      </c>
      <c r="B64" s="1">
        <f t="shared" si="13"/>
        <v>126</v>
      </c>
      <c r="C64" s="1">
        <f>VLOOKUP(B64,Assumptions!$A$8:$D$129,2+B$2)</f>
        <v>1</v>
      </c>
      <c r="D64" s="1">
        <f>(1-VLOOKUP(B64,Assumptions!$A$8:$E$129,4+B$2))^(A64-2012)</f>
        <v>1</v>
      </c>
      <c r="E64" s="1">
        <f t="shared" si="14"/>
        <v>1</v>
      </c>
      <c r="F64" s="1">
        <f t="shared" si="6"/>
        <v>0</v>
      </c>
      <c r="G64" s="1">
        <f t="shared" si="15"/>
        <v>0</v>
      </c>
      <c r="H64" s="1">
        <f t="shared" si="1"/>
        <v>1</v>
      </c>
      <c r="I64" s="20">
        <f t="shared" si="16"/>
        <v>0</v>
      </c>
      <c r="J64" s="20">
        <f t="shared" si="2"/>
        <v>0</v>
      </c>
      <c r="K64" s="1"/>
    </row>
    <row r="65" spans="1:11" x14ac:dyDescent="0.4">
      <c r="A65" s="1">
        <f t="shared" si="12"/>
        <v>2084</v>
      </c>
      <c r="B65" s="1">
        <f t="shared" si="13"/>
        <v>127</v>
      </c>
      <c r="C65" s="1">
        <f>VLOOKUP(B65,Assumptions!$A$8:$D$129,2+B$2)</f>
        <v>1</v>
      </c>
      <c r="D65" s="1">
        <f>(1-VLOOKUP(B65,Assumptions!$A$8:$E$129,4+B$2))^(A65-2012)</f>
        <v>1</v>
      </c>
      <c r="E65" s="1">
        <f t="shared" si="14"/>
        <v>1</v>
      </c>
      <c r="F65" s="1">
        <f t="shared" si="6"/>
        <v>0</v>
      </c>
      <c r="G65" s="1">
        <f t="shared" si="15"/>
        <v>0</v>
      </c>
      <c r="H65" s="1">
        <f t="shared" si="1"/>
        <v>1</v>
      </c>
      <c r="I65" s="20">
        <f t="shared" si="16"/>
        <v>0</v>
      </c>
      <c r="J65" s="20">
        <f t="shared" si="2"/>
        <v>0</v>
      </c>
      <c r="K65" s="1"/>
    </row>
    <row r="66" spans="1:11" x14ac:dyDescent="0.4">
      <c r="A66" s="1">
        <f t="shared" si="12"/>
        <v>2085</v>
      </c>
      <c r="B66" s="1">
        <f t="shared" si="13"/>
        <v>128</v>
      </c>
      <c r="C66" s="1">
        <f>VLOOKUP(B66,Assumptions!$A$8:$D$129,2+B$2)</f>
        <v>1</v>
      </c>
      <c r="D66" s="1">
        <f>(1-VLOOKUP(B66,Assumptions!$A$8:$E$129,4+B$2))^(A66-2012)</f>
        <v>1</v>
      </c>
      <c r="E66" s="1">
        <f t="shared" si="14"/>
        <v>1</v>
      </c>
      <c r="F66" s="1">
        <f t="shared" si="6"/>
        <v>0</v>
      </c>
      <c r="G66" s="1">
        <f t="shared" si="15"/>
        <v>0</v>
      </c>
      <c r="H66" s="1">
        <f t="shared" si="1"/>
        <v>1</v>
      </c>
      <c r="I66" s="20">
        <f t="shared" si="16"/>
        <v>0</v>
      </c>
      <c r="J66" s="20">
        <f t="shared" si="2"/>
        <v>0</v>
      </c>
      <c r="K66" s="1"/>
    </row>
  </sheetData>
  <mergeCells count="1">
    <mergeCell ref="G3:H3"/>
  </mergeCell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F2C80-E36C-4048-B1EB-E453454D75F0}">
  <sheetPr codeName="Sheet6"/>
  <dimension ref="A1:L64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L4" sqref="L4:L64"/>
    </sheetView>
  </sheetViews>
  <sheetFormatPr defaultColWidth="10.6640625" defaultRowHeight="16" x14ac:dyDescent="0.4"/>
  <cols>
    <col min="1" max="1" width="14.1640625" style="1" customWidth="1"/>
    <col min="2" max="2" width="10.5" style="1" customWidth="1"/>
    <col min="3" max="11" width="10.5" style="13" customWidth="1"/>
    <col min="12" max="12" width="10.5" style="1" customWidth="1"/>
  </cols>
  <sheetData>
    <row r="1" spans="1:12" x14ac:dyDescent="0.4">
      <c r="A1" s="1" t="s">
        <v>258</v>
      </c>
      <c r="B1" s="1">
        <v>25</v>
      </c>
    </row>
    <row r="2" spans="1:12" x14ac:dyDescent="0.4">
      <c r="B2" s="58" t="s">
        <v>262</v>
      </c>
      <c r="C2" s="58"/>
      <c r="D2" s="58"/>
      <c r="E2" s="58"/>
      <c r="F2" s="58"/>
      <c r="G2" s="58"/>
      <c r="H2" s="58"/>
      <c r="I2" s="58"/>
      <c r="J2" s="58"/>
      <c r="K2" s="58"/>
    </row>
    <row r="3" spans="1:12" x14ac:dyDescent="0.4">
      <c r="A3" s="1" t="s">
        <v>263</v>
      </c>
      <c r="B3" s="1">
        <v>1</v>
      </c>
      <c r="C3" s="13">
        <f>1+B3</f>
        <v>2</v>
      </c>
      <c r="D3" s="13">
        <f t="shared" ref="D3:J3" si="0">1+C3</f>
        <v>3</v>
      </c>
      <c r="E3" s="13">
        <f t="shared" si="0"/>
        <v>4</v>
      </c>
      <c r="F3" s="13">
        <f t="shared" si="0"/>
        <v>5</v>
      </c>
      <c r="G3" s="13">
        <f t="shared" si="0"/>
        <v>6</v>
      </c>
      <c r="H3" s="13">
        <f t="shared" si="0"/>
        <v>7</v>
      </c>
      <c r="I3" s="13">
        <f t="shared" si="0"/>
        <v>8</v>
      </c>
      <c r="J3" s="13">
        <f t="shared" si="0"/>
        <v>9</v>
      </c>
      <c r="K3" s="13">
        <f>1+J3</f>
        <v>10</v>
      </c>
      <c r="L3" s="1" t="s">
        <v>247</v>
      </c>
    </row>
    <row r="4" spans="1:12" x14ac:dyDescent="0.4">
      <c r="A4" s="1">
        <f>YEAR(Valuation_Date)+1</f>
        <v>2025</v>
      </c>
      <c r="B4" s="23">
        <v>20000</v>
      </c>
      <c r="C4" s="38">
        <v>98000</v>
      </c>
      <c r="D4" s="38">
        <v>65000</v>
      </c>
      <c r="E4" s="38">
        <v>49000</v>
      </c>
      <c r="F4" s="38">
        <v>39000</v>
      </c>
      <c r="G4" s="38">
        <v>78000</v>
      </c>
      <c r="H4" s="38">
        <v>28000</v>
      </c>
      <c r="I4" s="38">
        <v>50000</v>
      </c>
      <c r="J4" s="38">
        <v>22000</v>
      </c>
      <c r="K4" s="38">
        <v>96000</v>
      </c>
      <c r="L4" s="23">
        <f>SUM(B4:K4)</f>
        <v>545000</v>
      </c>
    </row>
    <row r="5" spans="1:12" x14ac:dyDescent="0.4">
      <c r="A5" s="1">
        <f>A4+1</f>
        <v>2026</v>
      </c>
      <c r="B5" s="23">
        <v>20000</v>
      </c>
      <c r="C5" s="38">
        <v>98000</v>
      </c>
      <c r="D5" s="38">
        <v>65000</v>
      </c>
      <c r="E5" s="38">
        <v>49000</v>
      </c>
      <c r="F5" s="38">
        <v>39000</v>
      </c>
      <c r="G5" s="38">
        <v>78000</v>
      </c>
      <c r="H5" s="38">
        <v>28000</v>
      </c>
      <c r="I5" s="38">
        <v>50000</v>
      </c>
      <c r="J5" s="38">
        <v>22000</v>
      </c>
      <c r="K5" s="38">
        <v>96000</v>
      </c>
      <c r="L5" s="23">
        <f t="shared" ref="L5:L64" si="1">SUM(B5:K5)</f>
        <v>545000</v>
      </c>
    </row>
    <row r="6" spans="1:12" x14ac:dyDescent="0.4">
      <c r="A6" s="1">
        <f t="shared" ref="A6:A64" si="2">A5+1</f>
        <v>2027</v>
      </c>
      <c r="B6" s="23">
        <v>20000</v>
      </c>
      <c r="C6" s="38">
        <v>98000</v>
      </c>
      <c r="D6" s="38">
        <v>65000</v>
      </c>
      <c r="E6" s="38">
        <v>49000</v>
      </c>
      <c r="F6" s="38">
        <v>39000</v>
      </c>
      <c r="G6" s="38">
        <v>78000</v>
      </c>
      <c r="H6" s="38">
        <v>28000</v>
      </c>
      <c r="I6" s="38">
        <v>50000</v>
      </c>
      <c r="J6" s="38">
        <v>22000</v>
      </c>
      <c r="K6" s="38">
        <v>96000</v>
      </c>
      <c r="L6" s="23">
        <f t="shared" si="1"/>
        <v>545000</v>
      </c>
    </row>
    <row r="7" spans="1:12" x14ac:dyDescent="0.4">
      <c r="A7" s="1">
        <f t="shared" si="2"/>
        <v>2028</v>
      </c>
      <c r="B7" s="23">
        <v>20000</v>
      </c>
      <c r="C7" s="38">
        <v>98000</v>
      </c>
      <c r="D7" s="38">
        <v>65000</v>
      </c>
      <c r="E7" s="38">
        <v>49000</v>
      </c>
      <c r="F7" s="38">
        <v>39000</v>
      </c>
      <c r="G7" s="38">
        <v>78000</v>
      </c>
      <c r="H7" s="38">
        <v>28000</v>
      </c>
      <c r="I7" s="38">
        <v>50000</v>
      </c>
      <c r="J7" s="38">
        <v>22000</v>
      </c>
      <c r="K7" s="38">
        <v>96000</v>
      </c>
      <c r="L7" s="23">
        <f t="shared" si="1"/>
        <v>545000</v>
      </c>
    </row>
    <row r="8" spans="1:12" x14ac:dyDescent="0.4">
      <c r="A8" s="1">
        <f t="shared" si="2"/>
        <v>2029</v>
      </c>
      <c r="B8" s="23">
        <v>20000</v>
      </c>
      <c r="C8" s="38">
        <v>98000</v>
      </c>
      <c r="D8" s="38">
        <v>65000</v>
      </c>
      <c r="E8" s="38">
        <v>49000</v>
      </c>
      <c r="F8" s="38">
        <v>39000</v>
      </c>
      <c r="G8" s="38">
        <v>78000</v>
      </c>
      <c r="H8" s="38">
        <v>28000</v>
      </c>
      <c r="I8" s="38">
        <v>50000</v>
      </c>
      <c r="J8" s="38">
        <v>22000</v>
      </c>
      <c r="K8" s="38">
        <v>0</v>
      </c>
      <c r="L8" s="23">
        <f t="shared" si="1"/>
        <v>449000</v>
      </c>
    </row>
    <row r="9" spans="1:12" x14ac:dyDescent="0.4">
      <c r="A9" s="1">
        <f t="shared" si="2"/>
        <v>2030</v>
      </c>
      <c r="B9" s="23">
        <v>20000</v>
      </c>
      <c r="C9" s="38">
        <v>98000</v>
      </c>
      <c r="D9" s="38">
        <v>65000</v>
      </c>
      <c r="E9" s="38">
        <v>49000</v>
      </c>
      <c r="F9" s="38">
        <v>39000</v>
      </c>
      <c r="G9" s="38">
        <v>78000</v>
      </c>
      <c r="H9" s="38">
        <v>28000</v>
      </c>
      <c r="I9" s="38">
        <v>50000</v>
      </c>
      <c r="J9" s="38">
        <v>22000</v>
      </c>
      <c r="K9" s="38">
        <v>0</v>
      </c>
      <c r="L9" s="23">
        <f t="shared" si="1"/>
        <v>449000</v>
      </c>
    </row>
    <row r="10" spans="1:12" x14ac:dyDescent="0.4">
      <c r="A10" s="1">
        <f t="shared" si="2"/>
        <v>2031</v>
      </c>
      <c r="B10" s="23">
        <v>20000</v>
      </c>
      <c r="C10" s="38">
        <v>98000</v>
      </c>
      <c r="D10" s="38">
        <v>65000</v>
      </c>
      <c r="E10" s="38">
        <v>49000</v>
      </c>
      <c r="F10" s="38">
        <v>39000</v>
      </c>
      <c r="G10" s="38">
        <v>78000</v>
      </c>
      <c r="H10" s="38">
        <v>28000</v>
      </c>
      <c r="I10" s="38">
        <v>50000</v>
      </c>
      <c r="J10" s="38">
        <v>22000</v>
      </c>
      <c r="K10" s="38">
        <v>0</v>
      </c>
      <c r="L10" s="23">
        <f t="shared" si="1"/>
        <v>449000</v>
      </c>
    </row>
    <row r="11" spans="1:12" x14ac:dyDescent="0.4">
      <c r="A11" s="1">
        <f t="shared" si="2"/>
        <v>2032</v>
      </c>
      <c r="B11" s="23">
        <v>20000</v>
      </c>
      <c r="C11" s="38">
        <v>98000</v>
      </c>
      <c r="D11" s="38">
        <v>65000</v>
      </c>
      <c r="E11" s="38">
        <v>49000</v>
      </c>
      <c r="F11" s="38">
        <v>39000</v>
      </c>
      <c r="G11" s="38">
        <v>78000</v>
      </c>
      <c r="H11" s="38">
        <v>28000</v>
      </c>
      <c r="I11" s="38">
        <v>50000</v>
      </c>
      <c r="J11" s="38">
        <v>22000</v>
      </c>
      <c r="K11" s="38">
        <v>0</v>
      </c>
      <c r="L11" s="23">
        <f t="shared" si="1"/>
        <v>449000</v>
      </c>
    </row>
    <row r="12" spans="1:12" x14ac:dyDescent="0.4">
      <c r="A12" s="1">
        <f t="shared" si="2"/>
        <v>2033</v>
      </c>
      <c r="B12" s="23">
        <v>20000</v>
      </c>
      <c r="C12" s="38">
        <v>98000</v>
      </c>
      <c r="D12" s="38">
        <v>65000</v>
      </c>
      <c r="E12" s="38">
        <v>49000</v>
      </c>
      <c r="F12" s="38">
        <v>39000</v>
      </c>
      <c r="G12" s="38">
        <v>78000</v>
      </c>
      <c r="H12" s="38">
        <v>28000</v>
      </c>
      <c r="I12" s="38">
        <v>50000</v>
      </c>
      <c r="J12" s="38">
        <v>22000</v>
      </c>
      <c r="K12" s="38">
        <v>0</v>
      </c>
      <c r="L12" s="23">
        <f t="shared" si="1"/>
        <v>449000</v>
      </c>
    </row>
    <row r="13" spans="1:12" x14ac:dyDescent="0.4">
      <c r="A13" s="1">
        <f t="shared" si="2"/>
        <v>2034</v>
      </c>
      <c r="B13" s="23">
        <v>20000</v>
      </c>
      <c r="C13" s="38">
        <v>98000</v>
      </c>
      <c r="D13" s="38">
        <v>65000</v>
      </c>
      <c r="E13" s="38">
        <v>49000</v>
      </c>
      <c r="F13" s="38">
        <v>39000</v>
      </c>
      <c r="G13" s="38">
        <v>78000</v>
      </c>
      <c r="H13" s="38">
        <v>28000</v>
      </c>
      <c r="I13" s="38">
        <v>50000</v>
      </c>
      <c r="J13" s="38">
        <v>22000</v>
      </c>
      <c r="K13" s="38">
        <v>0</v>
      </c>
      <c r="L13" s="23">
        <f t="shared" si="1"/>
        <v>449000</v>
      </c>
    </row>
    <row r="14" spans="1:12" x14ac:dyDescent="0.4">
      <c r="A14" s="1">
        <f t="shared" si="2"/>
        <v>2035</v>
      </c>
      <c r="B14" s="23">
        <v>20000</v>
      </c>
      <c r="C14" s="38">
        <v>98000</v>
      </c>
      <c r="D14" s="38">
        <v>65000</v>
      </c>
      <c r="E14" s="38">
        <v>49000</v>
      </c>
      <c r="F14" s="38">
        <v>39000</v>
      </c>
      <c r="G14" s="38">
        <v>78000</v>
      </c>
      <c r="H14" s="38">
        <v>28000</v>
      </c>
      <c r="I14" s="38">
        <v>50000</v>
      </c>
      <c r="J14" s="38">
        <v>22000</v>
      </c>
      <c r="K14" s="38">
        <v>0</v>
      </c>
      <c r="L14" s="23">
        <f t="shared" si="1"/>
        <v>449000</v>
      </c>
    </row>
    <row r="15" spans="1:12" x14ac:dyDescent="0.4">
      <c r="A15" s="1">
        <f t="shared" si="2"/>
        <v>2036</v>
      </c>
      <c r="B15" s="23">
        <v>20000</v>
      </c>
      <c r="C15" s="38">
        <v>98000</v>
      </c>
      <c r="D15" s="38">
        <v>65000</v>
      </c>
      <c r="E15" s="38">
        <v>49000</v>
      </c>
      <c r="F15" s="38">
        <v>39000</v>
      </c>
      <c r="G15" s="38">
        <v>78000</v>
      </c>
      <c r="H15" s="38">
        <v>28000</v>
      </c>
      <c r="I15" s="38">
        <v>50000</v>
      </c>
      <c r="J15" s="38">
        <v>22000</v>
      </c>
      <c r="K15" s="38">
        <v>0</v>
      </c>
      <c r="L15" s="23">
        <f t="shared" si="1"/>
        <v>449000</v>
      </c>
    </row>
    <row r="16" spans="1:12" x14ac:dyDescent="0.4">
      <c r="A16" s="1">
        <f t="shared" si="2"/>
        <v>2037</v>
      </c>
      <c r="B16" s="23">
        <v>20000</v>
      </c>
      <c r="C16" s="38">
        <v>98000</v>
      </c>
      <c r="D16" s="38">
        <v>65000</v>
      </c>
      <c r="E16" s="38">
        <v>0</v>
      </c>
      <c r="F16" s="38">
        <v>39000</v>
      </c>
      <c r="G16" s="38">
        <v>78000</v>
      </c>
      <c r="H16" s="38">
        <v>28000</v>
      </c>
      <c r="I16" s="38">
        <v>50000</v>
      </c>
      <c r="J16" s="38">
        <v>22000</v>
      </c>
      <c r="K16" s="38">
        <v>0</v>
      </c>
      <c r="L16" s="23">
        <f t="shared" si="1"/>
        <v>400000</v>
      </c>
    </row>
    <row r="17" spans="1:12" x14ac:dyDescent="0.4">
      <c r="A17" s="1">
        <f t="shared" si="2"/>
        <v>2038</v>
      </c>
      <c r="B17" s="23">
        <v>20000</v>
      </c>
      <c r="C17" s="38">
        <v>98000</v>
      </c>
      <c r="D17" s="38">
        <v>65000</v>
      </c>
      <c r="E17" s="38">
        <v>0</v>
      </c>
      <c r="F17" s="38">
        <v>39000</v>
      </c>
      <c r="G17" s="38">
        <v>78000</v>
      </c>
      <c r="H17" s="38">
        <v>28000</v>
      </c>
      <c r="I17" s="38">
        <v>50000</v>
      </c>
      <c r="J17" s="38">
        <v>22000</v>
      </c>
      <c r="K17" s="38">
        <v>0</v>
      </c>
      <c r="L17" s="23">
        <f t="shared" si="1"/>
        <v>400000</v>
      </c>
    </row>
    <row r="18" spans="1:12" x14ac:dyDescent="0.4">
      <c r="A18" s="1">
        <f t="shared" si="2"/>
        <v>2039</v>
      </c>
      <c r="B18" s="23">
        <v>20000</v>
      </c>
      <c r="C18" s="38">
        <v>98000</v>
      </c>
      <c r="D18" s="38">
        <v>65000</v>
      </c>
      <c r="E18" s="38">
        <v>0</v>
      </c>
      <c r="F18" s="38">
        <v>39000</v>
      </c>
      <c r="G18" s="38">
        <v>0</v>
      </c>
      <c r="H18" s="38">
        <v>28000</v>
      </c>
      <c r="I18" s="38">
        <v>50000</v>
      </c>
      <c r="J18" s="38">
        <v>22000</v>
      </c>
      <c r="K18" s="38">
        <v>0</v>
      </c>
      <c r="L18" s="23">
        <f t="shared" si="1"/>
        <v>322000</v>
      </c>
    </row>
    <row r="19" spans="1:12" x14ac:dyDescent="0.4">
      <c r="A19" s="1">
        <f t="shared" si="2"/>
        <v>2040</v>
      </c>
      <c r="B19" s="23">
        <v>20000</v>
      </c>
      <c r="C19" s="38">
        <v>98000</v>
      </c>
      <c r="D19" s="38">
        <v>65000</v>
      </c>
      <c r="E19" s="38">
        <v>0</v>
      </c>
      <c r="F19" s="38">
        <v>39000</v>
      </c>
      <c r="G19" s="38">
        <v>0</v>
      </c>
      <c r="H19" s="38">
        <v>28000</v>
      </c>
      <c r="I19" s="38">
        <v>50000</v>
      </c>
      <c r="J19" s="38">
        <v>22000</v>
      </c>
      <c r="K19" s="38">
        <v>0</v>
      </c>
      <c r="L19" s="23">
        <f t="shared" si="1"/>
        <v>322000</v>
      </c>
    </row>
    <row r="20" spans="1:12" x14ac:dyDescent="0.4">
      <c r="A20" s="1">
        <f t="shared" si="2"/>
        <v>2041</v>
      </c>
      <c r="B20" s="23">
        <v>20000</v>
      </c>
      <c r="C20" s="38">
        <v>98000</v>
      </c>
      <c r="D20" s="38">
        <v>65000</v>
      </c>
      <c r="E20" s="38">
        <v>0</v>
      </c>
      <c r="F20" s="38">
        <v>39000</v>
      </c>
      <c r="G20" s="38">
        <v>0</v>
      </c>
      <c r="H20" s="38">
        <v>28000</v>
      </c>
      <c r="I20" s="38">
        <v>50000</v>
      </c>
      <c r="J20" s="38">
        <v>22000</v>
      </c>
      <c r="K20" s="38">
        <v>0</v>
      </c>
      <c r="L20" s="23">
        <f t="shared" si="1"/>
        <v>322000</v>
      </c>
    </row>
    <row r="21" spans="1:12" x14ac:dyDescent="0.4">
      <c r="A21" s="1">
        <f t="shared" si="2"/>
        <v>2042</v>
      </c>
      <c r="B21" s="23">
        <v>20000</v>
      </c>
      <c r="C21" s="38">
        <v>98000</v>
      </c>
      <c r="D21" s="38">
        <v>65000</v>
      </c>
      <c r="E21" s="38">
        <v>0</v>
      </c>
      <c r="F21" s="38">
        <v>39000</v>
      </c>
      <c r="G21" s="38">
        <v>0</v>
      </c>
      <c r="H21" s="38">
        <v>28000</v>
      </c>
      <c r="I21" s="38">
        <v>50000</v>
      </c>
      <c r="J21" s="38">
        <v>22000</v>
      </c>
      <c r="K21" s="38">
        <v>0</v>
      </c>
      <c r="L21" s="23">
        <f t="shared" si="1"/>
        <v>322000</v>
      </c>
    </row>
    <row r="22" spans="1:12" x14ac:dyDescent="0.4">
      <c r="A22" s="1">
        <f t="shared" si="2"/>
        <v>2043</v>
      </c>
      <c r="B22" s="23">
        <v>20000</v>
      </c>
      <c r="C22" s="38">
        <v>98000</v>
      </c>
      <c r="D22" s="38">
        <v>65000</v>
      </c>
      <c r="E22" s="38">
        <v>0</v>
      </c>
      <c r="F22" s="38">
        <v>39000</v>
      </c>
      <c r="G22" s="38">
        <v>0</v>
      </c>
      <c r="H22" s="38">
        <v>28000</v>
      </c>
      <c r="I22" s="38">
        <v>50000</v>
      </c>
      <c r="J22" s="38">
        <v>22000</v>
      </c>
      <c r="K22" s="38">
        <v>0</v>
      </c>
      <c r="L22" s="23">
        <f t="shared" si="1"/>
        <v>322000</v>
      </c>
    </row>
    <row r="23" spans="1:12" x14ac:dyDescent="0.4">
      <c r="A23" s="1">
        <f t="shared" si="2"/>
        <v>2044</v>
      </c>
      <c r="B23" s="23">
        <v>20000</v>
      </c>
      <c r="C23" s="38">
        <v>98000</v>
      </c>
      <c r="D23" s="38">
        <v>65000</v>
      </c>
      <c r="E23" s="38">
        <v>0</v>
      </c>
      <c r="F23" s="38">
        <v>39000</v>
      </c>
      <c r="G23" s="38">
        <v>0</v>
      </c>
      <c r="H23" s="38">
        <v>28000</v>
      </c>
      <c r="I23" s="38">
        <v>50000</v>
      </c>
      <c r="J23" s="38">
        <v>22000</v>
      </c>
      <c r="K23" s="38">
        <v>0</v>
      </c>
      <c r="L23" s="23">
        <f t="shared" si="1"/>
        <v>322000</v>
      </c>
    </row>
    <row r="24" spans="1:12" x14ac:dyDescent="0.4">
      <c r="A24" s="1">
        <f t="shared" si="2"/>
        <v>2045</v>
      </c>
      <c r="B24" s="23">
        <v>20000</v>
      </c>
      <c r="C24" s="38">
        <v>98000</v>
      </c>
      <c r="D24" s="38">
        <v>65000</v>
      </c>
      <c r="E24" s="38">
        <v>0</v>
      </c>
      <c r="F24" s="38">
        <v>39000</v>
      </c>
      <c r="G24" s="38">
        <v>0</v>
      </c>
      <c r="H24" s="38">
        <v>28000</v>
      </c>
      <c r="I24" s="38">
        <v>50000</v>
      </c>
      <c r="J24" s="38">
        <v>22000</v>
      </c>
      <c r="K24" s="38">
        <v>0</v>
      </c>
      <c r="L24" s="23">
        <f t="shared" si="1"/>
        <v>322000</v>
      </c>
    </row>
    <row r="25" spans="1:12" x14ac:dyDescent="0.4">
      <c r="A25" s="1">
        <f t="shared" si="2"/>
        <v>2046</v>
      </c>
      <c r="B25" s="23">
        <v>20000</v>
      </c>
      <c r="C25" s="38">
        <v>98000</v>
      </c>
      <c r="D25" s="38">
        <v>65000</v>
      </c>
      <c r="E25" s="38">
        <v>0</v>
      </c>
      <c r="F25" s="38">
        <v>0</v>
      </c>
      <c r="G25" s="38">
        <v>0</v>
      </c>
      <c r="H25" s="38">
        <v>28000</v>
      </c>
      <c r="I25" s="38">
        <v>50000</v>
      </c>
      <c r="J25" s="38">
        <v>22000</v>
      </c>
      <c r="K25" s="38">
        <v>0</v>
      </c>
      <c r="L25" s="23">
        <f t="shared" si="1"/>
        <v>283000</v>
      </c>
    </row>
    <row r="26" spans="1:12" x14ac:dyDescent="0.4">
      <c r="A26" s="1">
        <f t="shared" si="2"/>
        <v>2047</v>
      </c>
      <c r="B26" s="23">
        <v>20000</v>
      </c>
      <c r="C26" s="38">
        <v>98000</v>
      </c>
      <c r="D26" s="38">
        <v>65000</v>
      </c>
      <c r="E26" s="38">
        <v>0</v>
      </c>
      <c r="F26" s="38">
        <v>0</v>
      </c>
      <c r="G26" s="38">
        <v>0</v>
      </c>
      <c r="H26" s="38">
        <v>28000</v>
      </c>
      <c r="I26" s="38">
        <v>50000</v>
      </c>
      <c r="J26" s="38">
        <v>22000</v>
      </c>
      <c r="K26" s="38">
        <v>0</v>
      </c>
      <c r="L26" s="23">
        <f t="shared" si="1"/>
        <v>283000</v>
      </c>
    </row>
    <row r="27" spans="1:12" x14ac:dyDescent="0.4">
      <c r="A27" s="1">
        <f t="shared" si="2"/>
        <v>2048</v>
      </c>
      <c r="B27" s="23">
        <v>20000</v>
      </c>
      <c r="C27" s="38">
        <v>98000</v>
      </c>
      <c r="D27" s="38">
        <v>65000</v>
      </c>
      <c r="E27" s="38">
        <v>0</v>
      </c>
      <c r="F27" s="38">
        <v>0</v>
      </c>
      <c r="G27" s="38">
        <v>0</v>
      </c>
      <c r="H27" s="38">
        <v>0</v>
      </c>
      <c r="I27" s="38">
        <v>50000</v>
      </c>
      <c r="J27" s="38">
        <v>22000</v>
      </c>
      <c r="K27" s="38">
        <v>0</v>
      </c>
      <c r="L27" s="23">
        <f t="shared" si="1"/>
        <v>255000</v>
      </c>
    </row>
    <row r="28" spans="1:12" x14ac:dyDescent="0.4">
      <c r="A28" s="1">
        <f t="shared" si="2"/>
        <v>2049</v>
      </c>
      <c r="B28" s="23">
        <v>0</v>
      </c>
      <c r="C28" s="38">
        <v>98000</v>
      </c>
      <c r="D28" s="38">
        <v>65000</v>
      </c>
      <c r="E28" s="38">
        <v>0</v>
      </c>
      <c r="F28" s="38">
        <v>0</v>
      </c>
      <c r="G28" s="38">
        <v>0</v>
      </c>
      <c r="H28" s="38">
        <v>0</v>
      </c>
      <c r="I28" s="38">
        <v>50000</v>
      </c>
      <c r="J28" s="38">
        <v>22000</v>
      </c>
      <c r="K28" s="38">
        <v>0</v>
      </c>
      <c r="L28" s="23">
        <f t="shared" si="1"/>
        <v>235000</v>
      </c>
    </row>
    <row r="29" spans="1:12" x14ac:dyDescent="0.4">
      <c r="A29" s="1">
        <f t="shared" si="2"/>
        <v>2050</v>
      </c>
      <c r="B29" s="23">
        <v>0</v>
      </c>
      <c r="C29" s="38">
        <v>98000</v>
      </c>
      <c r="D29" s="38">
        <v>65000</v>
      </c>
      <c r="E29" s="38">
        <v>0</v>
      </c>
      <c r="F29" s="38">
        <v>0</v>
      </c>
      <c r="G29" s="38">
        <v>0</v>
      </c>
      <c r="H29" s="38">
        <v>0</v>
      </c>
      <c r="I29" s="38">
        <v>50000</v>
      </c>
      <c r="J29" s="38">
        <v>22000</v>
      </c>
      <c r="K29" s="38">
        <v>0</v>
      </c>
      <c r="L29" s="23">
        <f t="shared" si="1"/>
        <v>235000</v>
      </c>
    </row>
    <row r="30" spans="1:12" x14ac:dyDescent="0.4">
      <c r="A30" s="1">
        <f t="shared" si="2"/>
        <v>2051</v>
      </c>
      <c r="B30" s="23">
        <v>0</v>
      </c>
      <c r="C30" s="38">
        <v>98000</v>
      </c>
      <c r="D30" s="38">
        <v>65000</v>
      </c>
      <c r="E30" s="38">
        <v>0</v>
      </c>
      <c r="F30" s="38">
        <v>0</v>
      </c>
      <c r="G30" s="38">
        <v>0</v>
      </c>
      <c r="H30" s="38">
        <v>0</v>
      </c>
      <c r="I30" s="38">
        <v>50000</v>
      </c>
      <c r="J30" s="38">
        <v>22000</v>
      </c>
      <c r="K30" s="38">
        <v>0</v>
      </c>
      <c r="L30" s="23">
        <f t="shared" si="1"/>
        <v>235000</v>
      </c>
    </row>
    <row r="31" spans="1:12" x14ac:dyDescent="0.4">
      <c r="A31" s="1">
        <f t="shared" si="2"/>
        <v>2052</v>
      </c>
      <c r="B31" s="23">
        <v>0</v>
      </c>
      <c r="C31" s="38">
        <v>98000</v>
      </c>
      <c r="D31" s="38">
        <v>65000</v>
      </c>
      <c r="E31" s="38">
        <v>0</v>
      </c>
      <c r="F31" s="38">
        <v>0</v>
      </c>
      <c r="G31" s="38">
        <v>0</v>
      </c>
      <c r="H31" s="38">
        <v>0</v>
      </c>
      <c r="I31" s="38">
        <v>50000</v>
      </c>
      <c r="J31" s="38">
        <v>22000</v>
      </c>
      <c r="K31" s="38">
        <v>0</v>
      </c>
      <c r="L31" s="23">
        <f t="shared" si="1"/>
        <v>235000</v>
      </c>
    </row>
    <row r="32" spans="1:12" x14ac:dyDescent="0.4">
      <c r="A32" s="1">
        <f t="shared" si="2"/>
        <v>2053</v>
      </c>
      <c r="B32" s="23">
        <v>0</v>
      </c>
      <c r="C32" s="38">
        <v>0</v>
      </c>
      <c r="D32" s="38">
        <v>65000</v>
      </c>
      <c r="E32" s="38">
        <v>0</v>
      </c>
      <c r="F32" s="38">
        <v>0</v>
      </c>
      <c r="G32" s="38">
        <v>0</v>
      </c>
      <c r="H32" s="38">
        <v>0</v>
      </c>
      <c r="I32" s="38">
        <v>50000</v>
      </c>
      <c r="J32" s="38">
        <v>22000</v>
      </c>
      <c r="K32" s="38">
        <v>0</v>
      </c>
      <c r="L32" s="23">
        <f t="shared" si="1"/>
        <v>137000</v>
      </c>
    </row>
    <row r="33" spans="1:12" x14ac:dyDescent="0.4">
      <c r="A33" s="1">
        <f t="shared" si="2"/>
        <v>2054</v>
      </c>
      <c r="B33" s="23">
        <v>0</v>
      </c>
      <c r="C33" s="38">
        <v>0</v>
      </c>
      <c r="D33" s="38">
        <v>0</v>
      </c>
      <c r="E33" s="38">
        <v>0</v>
      </c>
      <c r="F33" s="38">
        <v>0</v>
      </c>
      <c r="G33" s="38">
        <v>0</v>
      </c>
      <c r="H33" s="38">
        <v>0</v>
      </c>
      <c r="I33" s="38">
        <v>50000</v>
      </c>
      <c r="J33" s="38">
        <v>22000</v>
      </c>
      <c r="K33" s="38">
        <v>0</v>
      </c>
      <c r="L33" s="23">
        <f t="shared" si="1"/>
        <v>72000</v>
      </c>
    </row>
    <row r="34" spans="1:12" x14ac:dyDescent="0.4">
      <c r="A34" s="1">
        <f t="shared" si="2"/>
        <v>2055</v>
      </c>
      <c r="B34" s="23">
        <v>0</v>
      </c>
      <c r="C34" s="38">
        <v>0</v>
      </c>
      <c r="D34" s="38">
        <v>0</v>
      </c>
      <c r="E34" s="38">
        <v>0</v>
      </c>
      <c r="F34" s="38">
        <v>0</v>
      </c>
      <c r="G34" s="38">
        <v>0</v>
      </c>
      <c r="H34" s="38">
        <v>0</v>
      </c>
      <c r="I34" s="38">
        <v>50000</v>
      </c>
      <c r="J34" s="38">
        <v>22000</v>
      </c>
      <c r="K34" s="38">
        <v>0</v>
      </c>
      <c r="L34" s="23">
        <f t="shared" si="1"/>
        <v>72000</v>
      </c>
    </row>
    <row r="35" spans="1:12" x14ac:dyDescent="0.4">
      <c r="A35" s="1">
        <f t="shared" si="2"/>
        <v>2056</v>
      </c>
      <c r="B35" s="23">
        <v>0</v>
      </c>
      <c r="C35" s="38">
        <v>0</v>
      </c>
      <c r="D35" s="38">
        <v>0</v>
      </c>
      <c r="E35" s="38">
        <v>0</v>
      </c>
      <c r="F35" s="38">
        <v>0</v>
      </c>
      <c r="G35" s="38">
        <v>0</v>
      </c>
      <c r="H35" s="38">
        <v>0</v>
      </c>
      <c r="I35" s="38">
        <v>50000</v>
      </c>
      <c r="J35" s="38">
        <v>0</v>
      </c>
      <c r="K35" s="38">
        <v>0</v>
      </c>
      <c r="L35" s="23">
        <f t="shared" si="1"/>
        <v>50000</v>
      </c>
    </row>
    <row r="36" spans="1:12" x14ac:dyDescent="0.4">
      <c r="A36" s="1">
        <f t="shared" si="2"/>
        <v>2057</v>
      </c>
      <c r="B36" s="23">
        <v>0</v>
      </c>
      <c r="C36" s="38">
        <v>0</v>
      </c>
      <c r="D36" s="38">
        <v>0</v>
      </c>
      <c r="E36" s="38">
        <v>0</v>
      </c>
      <c r="F36" s="38">
        <v>0</v>
      </c>
      <c r="G36" s="38">
        <v>0</v>
      </c>
      <c r="H36" s="38">
        <v>0</v>
      </c>
      <c r="I36" s="38">
        <v>50000</v>
      </c>
      <c r="J36" s="38">
        <v>0</v>
      </c>
      <c r="K36" s="38">
        <v>0</v>
      </c>
      <c r="L36" s="23">
        <f t="shared" si="1"/>
        <v>50000</v>
      </c>
    </row>
    <row r="37" spans="1:12" x14ac:dyDescent="0.4">
      <c r="A37" s="1">
        <f t="shared" si="2"/>
        <v>2058</v>
      </c>
      <c r="B37" s="23">
        <v>0</v>
      </c>
      <c r="C37" s="38">
        <v>0</v>
      </c>
      <c r="D37" s="38">
        <v>0</v>
      </c>
      <c r="E37" s="38">
        <v>0</v>
      </c>
      <c r="F37" s="38">
        <v>0</v>
      </c>
      <c r="G37" s="38">
        <v>0</v>
      </c>
      <c r="H37" s="38">
        <v>0</v>
      </c>
      <c r="I37" s="38">
        <v>0</v>
      </c>
      <c r="J37" s="38">
        <v>0</v>
      </c>
      <c r="K37" s="38">
        <v>0</v>
      </c>
      <c r="L37" s="23">
        <f t="shared" si="1"/>
        <v>0</v>
      </c>
    </row>
    <row r="38" spans="1:12" x14ac:dyDescent="0.4">
      <c r="A38" s="1">
        <f t="shared" si="2"/>
        <v>2059</v>
      </c>
      <c r="B38" s="23">
        <v>0</v>
      </c>
      <c r="C38" s="38">
        <v>0</v>
      </c>
      <c r="D38" s="38">
        <v>0</v>
      </c>
      <c r="E38" s="38">
        <v>0</v>
      </c>
      <c r="F38" s="38">
        <v>0</v>
      </c>
      <c r="G38" s="38">
        <v>0</v>
      </c>
      <c r="H38" s="38">
        <v>0</v>
      </c>
      <c r="I38" s="38">
        <v>0</v>
      </c>
      <c r="J38" s="38">
        <v>0</v>
      </c>
      <c r="K38" s="38">
        <v>0</v>
      </c>
      <c r="L38" s="23">
        <f t="shared" si="1"/>
        <v>0</v>
      </c>
    </row>
    <row r="39" spans="1:12" x14ac:dyDescent="0.4">
      <c r="A39" s="1">
        <f t="shared" si="2"/>
        <v>2060</v>
      </c>
      <c r="B39" s="23">
        <v>0</v>
      </c>
      <c r="C39" s="38">
        <v>0</v>
      </c>
      <c r="D39" s="38">
        <v>0</v>
      </c>
      <c r="E39" s="38">
        <v>0</v>
      </c>
      <c r="F39" s="38">
        <v>0</v>
      </c>
      <c r="G39" s="38">
        <v>0</v>
      </c>
      <c r="H39" s="38">
        <v>0</v>
      </c>
      <c r="I39" s="38">
        <v>0</v>
      </c>
      <c r="J39" s="38">
        <v>0</v>
      </c>
      <c r="K39" s="38">
        <v>0</v>
      </c>
      <c r="L39" s="23">
        <f t="shared" si="1"/>
        <v>0</v>
      </c>
    </row>
    <row r="40" spans="1:12" x14ac:dyDescent="0.4">
      <c r="A40" s="1">
        <f t="shared" si="2"/>
        <v>2061</v>
      </c>
      <c r="B40" s="23">
        <v>0</v>
      </c>
      <c r="C40" s="38">
        <v>0</v>
      </c>
      <c r="D40" s="38">
        <v>0</v>
      </c>
      <c r="E40" s="38">
        <v>0</v>
      </c>
      <c r="F40" s="38">
        <v>0</v>
      </c>
      <c r="G40" s="38">
        <v>0</v>
      </c>
      <c r="H40" s="38">
        <v>0</v>
      </c>
      <c r="I40" s="38">
        <v>0</v>
      </c>
      <c r="J40" s="38">
        <v>0</v>
      </c>
      <c r="K40" s="38">
        <v>0</v>
      </c>
      <c r="L40" s="23">
        <f t="shared" si="1"/>
        <v>0</v>
      </c>
    </row>
    <row r="41" spans="1:12" x14ac:dyDescent="0.4">
      <c r="A41" s="1">
        <f t="shared" si="2"/>
        <v>2062</v>
      </c>
      <c r="B41" s="23">
        <v>0</v>
      </c>
      <c r="C41" s="38">
        <v>0</v>
      </c>
      <c r="D41" s="38">
        <v>0</v>
      </c>
      <c r="E41" s="38">
        <v>0</v>
      </c>
      <c r="F41" s="38">
        <v>0</v>
      </c>
      <c r="G41" s="38">
        <v>0</v>
      </c>
      <c r="H41" s="38">
        <v>0</v>
      </c>
      <c r="I41" s="38">
        <v>0</v>
      </c>
      <c r="J41" s="38">
        <v>0</v>
      </c>
      <c r="K41" s="38">
        <v>0</v>
      </c>
      <c r="L41" s="23">
        <f t="shared" si="1"/>
        <v>0</v>
      </c>
    </row>
    <row r="42" spans="1:12" x14ac:dyDescent="0.4">
      <c r="A42" s="1">
        <f t="shared" si="2"/>
        <v>2063</v>
      </c>
      <c r="B42" s="23">
        <v>0</v>
      </c>
      <c r="C42" s="38">
        <v>0</v>
      </c>
      <c r="D42" s="38">
        <v>0</v>
      </c>
      <c r="E42" s="38">
        <v>0</v>
      </c>
      <c r="F42" s="38">
        <v>0</v>
      </c>
      <c r="G42" s="38">
        <v>0</v>
      </c>
      <c r="H42" s="38">
        <v>0</v>
      </c>
      <c r="I42" s="38">
        <v>0</v>
      </c>
      <c r="J42" s="38">
        <v>0</v>
      </c>
      <c r="K42" s="38">
        <v>0</v>
      </c>
      <c r="L42" s="23">
        <f t="shared" si="1"/>
        <v>0</v>
      </c>
    </row>
    <row r="43" spans="1:12" x14ac:dyDescent="0.4">
      <c r="A43" s="1">
        <f t="shared" si="2"/>
        <v>2064</v>
      </c>
      <c r="B43" s="23">
        <v>0</v>
      </c>
      <c r="C43" s="38">
        <v>0</v>
      </c>
      <c r="D43" s="38">
        <v>0</v>
      </c>
      <c r="E43" s="38">
        <v>0</v>
      </c>
      <c r="F43" s="38">
        <v>0</v>
      </c>
      <c r="G43" s="38">
        <v>0</v>
      </c>
      <c r="H43" s="38">
        <v>0</v>
      </c>
      <c r="I43" s="38">
        <v>0</v>
      </c>
      <c r="J43" s="38">
        <v>0</v>
      </c>
      <c r="K43" s="38">
        <v>0</v>
      </c>
      <c r="L43" s="23">
        <f t="shared" si="1"/>
        <v>0</v>
      </c>
    </row>
    <row r="44" spans="1:12" x14ac:dyDescent="0.4">
      <c r="A44" s="1">
        <f t="shared" si="2"/>
        <v>2065</v>
      </c>
      <c r="B44" s="23">
        <v>0</v>
      </c>
      <c r="C44" s="38">
        <v>0</v>
      </c>
      <c r="D44" s="38">
        <v>0</v>
      </c>
      <c r="E44" s="38">
        <v>0</v>
      </c>
      <c r="F44" s="38">
        <v>0</v>
      </c>
      <c r="G44" s="38">
        <v>0</v>
      </c>
      <c r="H44" s="38">
        <v>0</v>
      </c>
      <c r="I44" s="38">
        <v>0</v>
      </c>
      <c r="J44" s="38">
        <v>0</v>
      </c>
      <c r="K44" s="38">
        <v>0</v>
      </c>
      <c r="L44" s="23">
        <f t="shared" si="1"/>
        <v>0</v>
      </c>
    </row>
    <row r="45" spans="1:12" x14ac:dyDescent="0.4">
      <c r="A45" s="1">
        <f t="shared" si="2"/>
        <v>2066</v>
      </c>
      <c r="B45" s="23">
        <v>0</v>
      </c>
      <c r="C45" s="38">
        <v>0</v>
      </c>
      <c r="D45" s="38">
        <v>0</v>
      </c>
      <c r="E45" s="38">
        <v>0</v>
      </c>
      <c r="F45" s="38">
        <v>0</v>
      </c>
      <c r="G45" s="38">
        <v>0</v>
      </c>
      <c r="H45" s="38">
        <v>0</v>
      </c>
      <c r="I45" s="38">
        <v>0</v>
      </c>
      <c r="J45" s="38">
        <v>0</v>
      </c>
      <c r="K45" s="38">
        <v>0</v>
      </c>
      <c r="L45" s="23">
        <f t="shared" si="1"/>
        <v>0</v>
      </c>
    </row>
    <row r="46" spans="1:12" x14ac:dyDescent="0.4">
      <c r="A46" s="1">
        <f t="shared" si="2"/>
        <v>2067</v>
      </c>
      <c r="B46" s="23">
        <v>0</v>
      </c>
      <c r="C46" s="38">
        <v>0</v>
      </c>
      <c r="D46" s="38">
        <v>0</v>
      </c>
      <c r="E46" s="38">
        <v>0</v>
      </c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23">
        <f t="shared" si="1"/>
        <v>0</v>
      </c>
    </row>
    <row r="47" spans="1:12" x14ac:dyDescent="0.4">
      <c r="A47" s="1">
        <f t="shared" si="2"/>
        <v>2068</v>
      </c>
      <c r="B47" s="23">
        <v>0</v>
      </c>
      <c r="C47" s="38">
        <v>0</v>
      </c>
      <c r="D47" s="38">
        <v>0</v>
      </c>
      <c r="E47" s="38">
        <v>0</v>
      </c>
      <c r="F47" s="38">
        <v>0</v>
      </c>
      <c r="G47" s="38">
        <v>0</v>
      </c>
      <c r="H47" s="38">
        <v>0</v>
      </c>
      <c r="I47" s="38">
        <v>0</v>
      </c>
      <c r="J47" s="38">
        <v>0</v>
      </c>
      <c r="K47" s="38">
        <v>0</v>
      </c>
      <c r="L47" s="23">
        <f t="shared" si="1"/>
        <v>0</v>
      </c>
    </row>
    <row r="48" spans="1:12" x14ac:dyDescent="0.4">
      <c r="A48" s="1">
        <f t="shared" si="2"/>
        <v>2069</v>
      </c>
      <c r="B48" s="23">
        <v>0</v>
      </c>
      <c r="C48" s="38">
        <v>0</v>
      </c>
      <c r="D48" s="38">
        <v>0</v>
      </c>
      <c r="E48" s="38">
        <v>0</v>
      </c>
      <c r="F48" s="38">
        <v>0</v>
      </c>
      <c r="G48" s="38">
        <v>0</v>
      </c>
      <c r="H48" s="38">
        <v>0</v>
      </c>
      <c r="I48" s="38">
        <v>0</v>
      </c>
      <c r="J48" s="38">
        <v>0</v>
      </c>
      <c r="K48" s="38">
        <v>0</v>
      </c>
      <c r="L48" s="23">
        <f t="shared" si="1"/>
        <v>0</v>
      </c>
    </row>
    <row r="49" spans="1:12" x14ac:dyDescent="0.4">
      <c r="A49" s="1">
        <f t="shared" si="2"/>
        <v>2070</v>
      </c>
      <c r="B49" s="23">
        <v>0</v>
      </c>
      <c r="C49" s="38">
        <v>0</v>
      </c>
      <c r="D49" s="38">
        <v>0</v>
      </c>
      <c r="E49" s="38">
        <v>0</v>
      </c>
      <c r="F49" s="38">
        <v>0</v>
      </c>
      <c r="G49" s="38">
        <v>0</v>
      </c>
      <c r="H49" s="38">
        <v>0</v>
      </c>
      <c r="I49" s="38">
        <v>0</v>
      </c>
      <c r="J49" s="38">
        <v>0</v>
      </c>
      <c r="K49" s="38">
        <v>0</v>
      </c>
      <c r="L49" s="23">
        <f t="shared" si="1"/>
        <v>0</v>
      </c>
    </row>
    <row r="50" spans="1:12" x14ac:dyDescent="0.4">
      <c r="A50" s="1">
        <f t="shared" si="2"/>
        <v>2071</v>
      </c>
      <c r="B50" s="23">
        <v>0</v>
      </c>
      <c r="C50" s="38">
        <v>0</v>
      </c>
      <c r="D50" s="38">
        <v>0</v>
      </c>
      <c r="E50" s="38">
        <v>0</v>
      </c>
      <c r="F50" s="38">
        <v>0</v>
      </c>
      <c r="G50" s="38">
        <v>0</v>
      </c>
      <c r="H50" s="38">
        <v>0</v>
      </c>
      <c r="I50" s="38">
        <v>0</v>
      </c>
      <c r="J50" s="38">
        <v>0</v>
      </c>
      <c r="K50" s="38">
        <v>0</v>
      </c>
      <c r="L50" s="23">
        <f t="shared" si="1"/>
        <v>0</v>
      </c>
    </row>
    <row r="51" spans="1:12" x14ac:dyDescent="0.4">
      <c r="A51" s="1">
        <f t="shared" si="2"/>
        <v>2072</v>
      </c>
      <c r="B51" s="23">
        <v>0</v>
      </c>
      <c r="C51" s="38">
        <v>0</v>
      </c>
      <c r="D51" s="38">
        <v>0</v>
      </c>
      <c r="E51" s="38">
        <v>0</v>
      </c>
      <c r="F51" s="38">
        <v>0</v>
      </c>
      <c r="G51" s="38">
        <v>0</v>
      </c>
      <c r="H51" s="38">
        <v>0</v>
      </c>
      <c r="I51" s="38">
        <v>0</v>
      </c>
      <c r="J51" s="38">
        <v>0</v>
      </c>
      <c r="K51" s="38">
        <v>0</v>
      </c>
      <c r="L51" s="23">
        <f t="shared" si="1"/>
        <v>0</v>
      </c>
    </row>
    <row r="52" spans="1:12" x14ac:dyDescent="0.4">
      <c r="A52" s="1">
        <f t="shared" si="2"/>
        <v>2073</v>
      </c>
      <c r="B52" s="23">
        <v>0</v>
      </c>
      <c r="C52" s="38">
        <v>0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23">
        <f t="shared" si="1"/>
        <v>0</v>
      </c>
    </row>
    <row r="53" spans="1:12" x14ac:dyDescent="0.4">
      <c r="A53" s="1">
        <f t="shared" si="2"/>
        <v>2074</v>
      </c>
      <c r="B53" s="23">
        <v>0</v>
      </c>
      <c r="C53" s="38">
        <v>0</v>
      </c>
      <c r="D53" s="38">
        <v>0</v>
      </c>
      <c r="E53" s="38">
        <v>0</v>
      </c>
      <c r="F53" s="38">
        <v>0</v>
      </c>
      <c r="G53" s="38">
        <v>0</v>
      </c>
      <c r="H53" s="38">
        <v>0</v>
      </c>
      <c r="I53" s="38">
        <v>0</v>
      </c>
      <c r="J53" s="38">
        <v>0</v>
      </c>
      <c r="K53" s="38">
        <v>0</v>
      </c>
      <c r="L53" s="23">
        <f t="shared" si="1"/>
        <v>0</v>
      </c>
    </row>
    <row r="54" spans="1:12" x14ac:dyDescent="0.4">
      <c r="A54" s="1">
        <f t="shared" si="2"/>
        <v>2075</v>
      </c>
      <c r="B54" s="23">
        <v>0</v>
      </c>
      <c r="C54" s="38">
        <v>0</v>
      </c>
      <c r="D54" s="38">
        <v>0</v>
      </c>
      <c r="E54" s="38">
        <v>0</v>
      </c>
      <c r="F54" s="38">
        <v>0</v>
      </c>
      <c r="G54" s="38">
        <v>0</v>
      </c>
      <c r="H54" s="38">
        <v>0</v>
      </c>
      <c r="I54" s="38">
        <v>0</v>
      </c>
      <c r="J54" s="38">
        <v>0</v>
      </c>
      <c r="K54" s="38">
        <v>0</v>
      </c>
      <c r="L54" s="23">
        <f t="shared" si="1"/>
        <v>0</v>
      </c>
    </row>
    <row r="55" spans="1:12" x14ac:dyDescent="0.4">
      <c r="A55" s="1">
        <f t="shared" si="2"/>
        <v>2076</v>
      </c>
      <c r="B55" s="23">
        <v>0</v>
      </c>
      <c r="C55" s="38">
        <v>0</v>
      </c>
      <c r="D55" s="38">
        <v>0</v>
      </c>
      <c r="E55" s="38">
        <v>0</v>
      </c>
      <c r="F55" s="38">
        <v>0</v>
      </c>
      <c r="G55" s="38">
        <v>0</v>
      </c>
      <c r="H55" s="38">
        <v>0</v>
      </c>
      <c r="I55" s="38">
        <v>0</v>
      </c>
      <c r="J55" s="38">
        <v>0</v>
      </c>
      <c r="K55" s="38">
        <v>0</v>
      </c>
      <c r="L55" s="23">
        <f t="shared" si="1"/>
        <v>0</v>
      </c>
    </row>
    <row r="56" spans="1:12" x14ac:dyDescent="0.4">
      <c r="A56" s="1">
        <f t="shared" si="2"/>
        <v>2077</v>
      </c>
      <c r="B56" s="23">
        <v>0</v>
      </c>
      <c r="C56" s="38">
        <v>0</v>
      </c>
      <c r="D56" s="38">
        <v>0</v>
      </c>
      <c r="E56" s="38">
        <v>0</v>
      </c>
      <c r="F56" s="38">
        <v>0</v>
      </c>
      <c r="G56" s="38">
        <v>0</v>
      </c>
      <c r="H56" s="38">
        <v>0</v>
      </c>
      <c r="I56" s="38">
        <v>0</v>
      </c>
      <c r="J56" s="38">
        <v>0</v>
      </c>
      <c r="K56" s="38">
        <v>0</v>
      </c>
      <c r="L56" s="23">
        <f t="shared" si="1"/>
        <v>0</v>
      </c>
    </row>
    <row r="57" spans="1:12" x14ac:dyDescent="0.4">
      <c r="A57" s="1">
        <f t="shared" si="2"/>
        <v>2078</v>
      </c>
      <c r="B57" s="23">
        <v>0</v>
      </c>
      <c r="C57" s="38">
        <v>0</v>
      </c>
      <c r="D57" s="38">
        <v>0</v>
      </c>
      <c r="E57" s="38">
        <v>0</v>
      </c>
      <c r="F57" s="38">
        <v>0</v>
      </c>
      <c r="G57" s="38">
        <v>0</v>
      </c>
      <c r="H57" s="38">
        <v>0</v>
      </c>
      <c r="I57" s="38">
        <v>0</v>
      </c>
      <c r="J57" s="38">
        <v>0</v>
      </c>
      <c r="K57" s="38">
        <v>0</v>
      </c>
      <c r="L57" s="23">
        <f t="shared" si="1"/>
        <v>0</v>
      </c>
    </row>
    <row r="58" spans="1:12" x14ac:dyDescent="0.4">
      <c r="A58" s="1">
        <f t="shared" si="2"/>
        <v>2079</v>
      </c>
      <c r="B58" s="23">
        <v>0</v>
      </c>
      <c r="C58" s="38">
        <v>0</v>
      </c>
      <c r="D58" s="38">
        <v>0</v>
      </c>
      <c r="E58" s="38">
        <v>0</v>
      </c>
      <c r="F58" s="38">
        <v>0</v>
      </c>
      <c r="G58" s="38">
        <v>0</v>
      </c>
      <c r="H58" s="38">
        <v>0</v>
      </c>
      <c r="I58" s="38">
        <v>0</v>
      </c>
      <c r="J58" s="38">
        <v>0</v>
      </c>
      <c r="K58" s="38">
        <v>0</v>
      </c>
      <c r="L58" s="23">
        <f t="shared" si="1"/>
        <v>0</v>
      </c>
    </row>
    <row r="59" spans="1:12" x14ac:dyDescent="0.4">
      <c r="A59" s="1">
        <f t="shared" si="2"/>
        <v>2080</v>
      </c>
      <c r="B59" s="23">
        <v>0</v>
      </c>
      <c r="C59" s="38">
        <v>0</v>
      </c>
      <c r="D59" s="38">
        <v>0</v>
      </c>
      <c r="E59" s="38">
        <v>0</v>
      </c>
      <c r="F59" s="38">
        <v>0</v>
      </c>
      <c r="G59" s="38">
        <v>0</v>
      </c>
      <c r="H59" s="38">
        <v>0</v>
      </c>
      <c r="I59" s="38">
        <v>0</v>
      </c>
      <c r="J59" s="38">
        <v>0</v>
      </c>
      <c r="K59" s="38">
        <v>0</v>
      </c>
      <c r="L59" s="23">
        <f t="shared" si="1"/>
        <v>0</v>
      </c>
    </row>
    <row r="60" spans="1:12" x14ac:dyDescent="0.4">
      <c r="A60" s="1">
        <f t="shared" si="2"/>
        <v>2081</v>
      </c>
      <c r="B60" s="23">
        <v>0</v>
      </c>
      <c r="C60" s="38">
        <v>0</v>
      </c>
      <c r="D60" s="38">
        <v>0</v>
      </c>
      <c r="E60" s="38">
        <v>0</v>
      </c>
      <c r="F60" s="38">
        <v>0</v>
      </c>
      <c r="G60" s="38">
        <v>0</v>
      </c>
      <c r="H60" s="38">
        <v>0</v>
      </c>
      <c r="I60" s="38">
        <v>0</v>
      </c>
      <c r="J60" s="38">
        <v>0</v>
      </c>
      <c r="K60" s="38">
        <v>0</v>
      </c>
      <c r="L60" s="23">
        <f t="shared" si="1"/>
        <v>0</v>
      </c>
    </row>
    <row r="61" spans="1:12" x14ac:dyDescent="0.4">
      <c r="A61" s="1">
        <f t="shared" si="2"/>
        <v>2082</v>
      </c>
      <c r="B61" s="23">
        <v>0</v>
      </c>
      <c r="C61" s="38">
        <v>0</v>
      </c>
      <c r="D61" s="38">
        <v>0</v>
      </c>
      <c r="E61" s="38">
        <v>0</v>
      </c>
      <c r="F61" s="38">
        <v>0</v>
      </c>
      <c r="G61" s="38">
        <v>0</v>
      </c>
      <c r="H61" s="38">
        <v>0</v>
      </c>
      <c r="I61" s="38">
        <v>0</v>
      </c>
      <c r="J61" s="38">
        <v>0</v>
      </c>
      <c r="K61" s="38">
        <v>0</v>
      </c>
      <c r="L61" s="23">
        <f t="shared" si="1"/>
        <v>0</v>
      </c>
    </row>
    <row r="62" spans="1:12" x14ac:dyDescent="0.4">
      <c r="A62" s="1">
        <f t="shared" si="2"/>
        <v>2083</v>
      </c>
      <c r="B62" s="23">
        <v>0</v>
      </c>
      <c r="C62" s="38">
        <v>0</v>
      </c>
      <c r="D62" s="38">
        <v>0</v>
      </c>
      <c r="E62" s="38">
        <v>0</v>
      </c>
      <c r="F62" s="38">
        <v>0</v>
      </c>
      <c r="G62" s="38">
        <v>0</v>
      </c>
      <c r="H62" s="38">
        <v>0</v>
      </c>
      <c r="I62" s="38">
        <v>0</v>
      </c>
      <c r="J62" s="38">
        <v>0</v>
      </c>
      <c r="K62" s="38">
        <v>0</v>
      </c>
      <c r="L62" s="23">
        <f t="shared" si="1"/>
        <v>0</v>
      </c>
    </row>
    <row r="63" spans="1:12" x14ac:dyDescent="0.4">
      <c r="A63" s="1">
        <f t="shared" si="2"/>
        <v>2084</v>
      </c>
      <c r="B63" s="23">
        <v>0</v>
      </c>
      <c r="C63" s="38">
        <v>0</v>
      </c>
      <c r="D63" s="38">
        <v>0</v>
      </c>
      <c r="E63" s="38">
        <v>0</v>
      </c>
      <c r="F63" s="38">
        <v>0</v>
      </c>
      <c r="G63" s="38">
        <v>0</v>
      </c>
      <c r="H63" s="38">
        <v>0</v>
      </c>
      <c r="I63" s="38">
        <v>0</v>
      </c>
      <c r="J63" s="38">
        <v>0</v>
      </c>
      <c r="K63" s="38">
        <v>0</v>
      </c>
      <c r="L63" s="23">
        <f t="shared" si="1"/>
        <v>0</v>
      </c>
    </row>
    <row r="64" spans="1:12" x14ac:dyDescent="0.4">
      <c r="A64" s="1">
        <f t="shared" si="2"/>
        <v>2085</v>
      </c>
      <c r="B64" s="23">
        <v>0</v>
      </c>
      <c r="C64" s="38">
        <v>0</v>
      </c>
      <c r="D64" s="38">
        <v>0</v>
      </c>
      <c r="E64" s="38">
        <v>0</v>
      </c>
      <c r="F64" s="38">
        <v>0</v>
      </c>
      <c r="G64" s="38">
        <v>0</v>
      </c>
      <c r="H64" s="38">
        <v>0</v>
      </c>
      <c r="I64" s="38">
        <v>0</v>
      </c>
      <c r="J64" s="38">
        <v>0</v>
      </c>
      <c r="K64" s="38">
        <v>0</v>
      </c>
      <c r="L64" s="23">
        <f t="shared" si="1"/>
        <v>0</v>
      </c>
    </row>
  </sheetData>
  <mergeCells count="1">
    <mergeCell ref="B2:K2"/>
  </mergeCells>
  <phoneticPr fontId="3" type="noConversion"/>
  <pageMargins left="0.7" right="0.7" top="0.75" bottom="0.75" header="0.3" footer="0.3"/>
  <pageSetup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9F8D8-AA95-824D-81D7-0F0D1B31EAB0}">
  <sheetPr codeName="Sheet7"/>
  <dimension ref="A1:Z69"/>
  <sheetViews>
    <sheetView workbookViewId="0">
      <pane xSplit="1" ySplit="7" topLeftCell="K8" activePane="bottomRight" state="frozen"/>
      <selection pane="topRight" activeCell="B1" sqref="B1"/>
      <selection pane="bottomLeft" activeCell="A8" sqref="A8"/>
      <selection pane="bottomRight" activeCell="Z8" sqref="Z8:Z68"/>
    </sheetView>
  </sheetViews>
  <sheetFormatPr defaultColWidth="10.6640625" defaultRowHeight="16" x14ac:dyDescent="0.4"/>
  <cols>
    <col min="1" max="1" width="13.33203125" customWidth="1"/>
    <col min="2" max="26" width="10.5" style="1" customWidth="1"/>
  </cols>
  <sheetData>
    <row r="1" spans="1:26" x14ac:dyDescent="0.4">
      <c r="A1" s="21"/>
    </row>
    <row r="2" spans="1:26" x14ac:dyDescent="0.4">
      <c r="A2" s="21" t="s">
        <v>311</v>
      </c>
      <c r="B2" s="24">
        <f>Discount_Rate</f>
        <v>0.04</v>
      </c>
      <c r="C2" s="12" t="s">
        <v>261</v>
      </c>
    </row>
    <row r="5" spans="1:26" x14ac:dyDescent="0.4">
      <c r="A5" s="21" t="s">
        <v>275</v>
      </c>
      <c r="B5" s="13">
        <f>IF(B7&gt;Dashboard!$M2,"",NPV($B2,B8:B68))</f>
        <v>4881770.4184879111</v>
      </c>
      <c r="C5" s="13">
        <f>IF(C7&gt;Dashboard!$M2,"",NPV($B2,C8:C68))</f>
        <v>6464493.9341324223</v>
      </c>
      <c r="D5" s="13">
        <f>IF(D7&gt;Dashboard!$M2,"",NPV($B2,D8:D68))</f>
        <v>6393318.6808940759</v>
      </c>
      <c r="E5" s="13">
        <f>IF(E7&gt;Dashboard!$M2,"",NPV($B2,E8:E68))</f>
        <v>6815173.281182305</v>
      </c>
      <c r="F5" s="13">
        <f>IF(F7&gt;Dashboard!$M2,"",NPV($B2,F8:F68))</f>
        <v>6562342.7320499187</v>
      </c>
      <c r="G5" s="13">
        <f>IF(G7&gt;Dashboard!$M2,"",NPV($B2,G8:G68))</f>
        <v>6239916.8274224801</v>
      </c>
      <c r="H5" s="13">
        <f>IF(H7&gt;Dashboard!$M2,"",NPV($B2,H8:H68))</f>
        <v>6521136.4769601701</v>
      </c>
      <c r="I5" s="13">
        <f>IF(I7&gt;Dashboard!$M2,"",NPV($B2,I8:I68))</f>
        <v>6084513.0918401834</v>
      </c>
      <c r="J5" s="13">
        <f>IF(J7&gt;Dashboard!$M2,"",NPV($B2,J8:J68))</f>
        <v>5268218.2838305794</v>
      </c>
      <c r="K5" s="13">
        <f>IF(K7&gt;Dashboard!$M2,"",NPV($B2,K8:K68))</f>
        <v>6629088.6698840391</v>
      </c>
      <c r="L5" s="13">
        <f>IF(L7&gt;Dashboard!$M2,"",NPV($B2,L8:L68))</f>
        <v>5280661.197716956</v>
      </c>
      <c r="M5" s="13">
        <f>IF(M7&gt;Dashboard!$M2,"",NPV($B2,M8:M68))</f>
        <v>5720766.8270355035</v>
      </c>
      <c r="N5" s="13">
        <f>IF(N7&gt;Dashboard!$M2,"",NPV($B2,N8:N68))</f>
        <v>7030853.9948557578</v>
      </c>
      <c r="O5" s="13">
        <f>IF(O7&gt;Dashboard!$M2,"",NPV($B2,O8:O68))</f>
        <v>6574819.4146733023</v>
      </c>
      <c r="P5" s="13">
        <f>IF(P7&gt;Dashboard!$M2,"",NPV($B2,P8:P68))</f>
        <v>5763305.4297336172</v>
      </c>
      <c r="Q5" s="13">
        <f>IF(Q7&gt;Dashboard!$M2,"",NPV($B2,Q8:Q68))</f>
        <v>6245744.3290873477</v>
      </c>
      <c r="R5" s="13">
        <f>IF(R7&gt;Dashboard!$M2,"",NPV($B2,R8:R68))</f>
        <v>6230236.9954434354</v>
      </c>
      <c r="S5" s="13">
        <f>IF(S7&gt;Dashboard!$M2,"",NPV($B2,S8:S68))</f>
        <v>6482526.4792005252</v>
      </c>
      <c r="T5" s="13">
        <f>IF(T7&gt;Dashboard!$M2,"",NPV($B2,T8:T68))</f>
        <v>6201928.6924466584</v>
      </c>
      <c r="U5" s="13">
        <f>IF(U7&gt;Dashboard!$M2,"",NPV($B2,U8:U68))</f>
        <v>4932313.3159443904</v>
      </c>
      <c r="V5" s="13">
        <f>IF(V7&gt;Dashboard!$M2,"",NPV($B2,V8:V68))</f>
        <v>6209889.6282906411</v>
      </c>
      <c r="W5" s="13">
        <f>IF(W7&gt;Dashboard!$M2,"",NPV($B2,W8:W68))</f>
        <v>6767161.6014375491</v>
      </c>
      <c r="X5" s="13">
        <f>IF(X7&gt;Dashboard!$M2,"",NPV($B2,X8:X68))</f>
        <v>6403134.7756604757</v>
      </c>
      <c r="Y5" s="13">
        <f>IF(Y7&gt;Dashboard!$M2,"",NPV($B2,Y8:Y68))</f>
        <v>7311089.0164207686</v>
      </c>
      <c r="Z5" s="13">
        <f>IF(Z7&gt;Dashboard!$M2,"",NPV($B2,Z8:Z68))</f>
        <v>6931581.0000810418</v>
      </c>
    </row>
    <row r="6" spans="1:26" x14ac:dyDescent="0.4">
      <c r="B6" s="58" t="s">
        <v>269</v>
      </c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</row>
    <row r="7" spans="1:26" x14ac:dyDescent="0.4">
      <c r="A7" s="1" t="s">
        <v>268</v>
      </c>
      <c r="B7" s="1">
        <v>1</v>
      </c>
      <c r="C7" s="1">
        <f>1+B7</f>
        <v>2</v>
      </c>
      <c r="D7" s="1">
        <f t="shared" ref="D7:Z7" si="0">1+C7</f>
        <v>3</v>
      </c>
      <c r="E7" s="1">
        <f t="shared" si="0"/>
        <v>4</v>
      </c>
      <c r="F7" s="1">
        <f t="shared" si="0"/>
        <v>5</v>
      </c>
      <c r="G7" s="1">
        <f t="shared" si="0"/>
        <v>6</v>
      </c>
      <c r="H7" s="1">
        <f t="shared" si="0"/>
        <v>7</v>
      </c>
      <c r="I7" s="1">
        <f t="shared" si="0"/>
        <v>8</v>
      </c>
      <c r="J7" s="1">
        <f t="shared" si="0"/>
        <v>9</v>
      </c>
      <c r="K7" s="1">
        <f t="shared" si="0"/>
        <v>10</v>
      </c>
      <c r="L7" s="1">
        <f t="shared" si="0"/>
        <v>11</v>
      </c>
      <c r="M7" s="1">
        <f t="shared" si="0"/>
        <v>12</v>
      </c>
      <c r="N7" s="1">
        <f t="shared" si="0"/>
        <v>13</v>
      </c>
      <c r="O7" s="1">
        <f t="shared" si="0"/>
        <v>14</v>
      </c>
      <c r="P7" s="1">
        <f t="shared" si="0"/>
        <v>15</v>
      </c>
      <c r="Q7" s="1">
        <f t="shared" si="0"/>
        <v>16</v>
      </c>
      <c r="R7" s="1">
        <f t="shared" si="0"/>
        <v>17</v>
      </c>
      <c r="S7" s="1">
        <f t="shared" si="0"/>
        <v>18</v>
      </c>
      <c r="T7" s="1">
        <f t="shared" si="0"/>
        <v>19</v>
      </c>
      <c r="U7" s="1">
        <f t="shared" si="0"/>
        <v>20</v>
      </c>
      <c r="V7" s="1">
        <f t="shared" si="0"/>
        <v>21</v>
      </c>
      <c r="W7" s="1">
        <f t="shared" si="0"/>
        <v>22</v>
      </c>
      <c r="X7" s="1">
        <f t="shared" si="0"/>
        <v>23</v>
      </c>
      <c r="Y7" s="1">
        <f t="shared" si="0"/>
        <v>24</v>
      </c>
      <c r="Z7" s="1">
        <f t="shared" si="0"/>
        <v>25</v>
      </c>
    </row>
    <row r="8" spans="1:26" x14ac:dyDescent="0.4">
      <c r="A8" s="1">
        <f>YEAR(Valuation_Date)+1</f>
        <v>2025</v>
      </c>
      <c r="B8" s="38">
        <v>545000</v>
      </c>
      <c r="C8" s="38">
        <v>545000</v>
      </c>
      <c r="D8" s="38">
        <v>545000</v>
      </c>
      <c r="E8" s="38">
        <v>545000</v>
      </c>
      <c r="F8" s="38">
        <v>545000</v>
      </c>
      <c r="G8" s="38">
        <v>545000</v>
      </c>
      <c r="H8" s="38">
        <v>545000</v>
      </c>
      <c r="I8" s="38">
        <v>545000</v>
      </c>
      <c r="J8" s="38">
        <v>545000</v>
      </c>
      <c r="K8" s="38">
        <v>545000</v>
      </c>
      <c r="L8" s="38">
        <v>545000</v>
      </c>
      <c r="M8" s="38">
        <v>545000</v>
      </c>
      <c r="N8" s="38">
        <v>545000</v>
      </c>
      <c r="O8" s="38">
        <v>545000</v>
      </c>
      <c r="P8" s="38">
        <v>545000</v>
      </c>
      <c r="Q8" s="38">
        <v>545000</v>
      </c>
      <c r="R8" s="38">
        <v>523000</v>
      </c>
      <c r="S8" s="38">
        <v>545000</v>
      </c>
      <c r="T8" s="38">
        <v>545000</v>
      </c>
      <c r="U8" s="38">
        <v>449000</v>
      </c>
      <c r="V8" s="38">
        <v>545000</v>
      </c>
      <c r="W8" s="38">
        <v>545000</v>
      </c>
      <c r="X8" s="38">
        <v>545000</v>
      </c>
      <c r="Y8" s="38">
        <v>545000</v>
      </c>
      <c r="Z8" s="38">
        <v>545000</v>
      </c>
    </row>
    <row r="9" spans="1:26" x14ac:dyDescent="0.4">
      <c r="A9" s="1">
        <f>A8+1</f>
        <v>2026</v>
      </c>
      <c r="B9" s="38">
        <v>545000</v>
      </c>
      <c r="C9" s="38">
        <v>545000</v>
      </c>
      <c r="D9" s="38">
        <v>545000</v>
      </c>
      <c r="E9" s="38">
        <v>545000</v>
      </c>
      <c r="F9" s="38">
        <v>545000</v>
      </c>
      <c r="G9" s="38">
        <v>545000</v>
      </c>
      <c r="H9" s="38">
        <v>545000</v>
      </c>
      <c r="I9" s="38">
        <v>545000</v>
      </c>
      <c r="J9" s="38">
        <v>545000</v>
      </c>
      <c r="K9" s="38">
        <v>545000</v>
      </c>
      <c r="L9" s="38">
        <v>545000</v>
      </c>
      <c r="M9" s="38">
        <v>545000</v>
      </c>
      <c r="N9" s="38">
        <v>545000</v>
      </c>
      <c r="O9" s="38">
        <v>545000</v>
      </c>
      <c r="P9" s="38">
        <v>545000</v>
      </c>
      <c r="Q9" s="38">
        <v>545000</v>
      </c>
      <c r="R9" s="38">
        <v>523000</v>
      </c>
      <c r="S9" s="38">
        <v>517000</v>
      </c>
      <c r="T9" s="38">
        <v>545000</v>
      </c>
      <c r="U9" s="38">
        <v>449000</v>
      </c>
      <c r="V9" s="38">
        <v>447000</v>
      </c>
      <c r="W9" s="38">
        <v>545000</v>
      </c>
      <c r="X9" s="38">
        <v>495000</v>
      </c>
      <c r="Y9" s="38">
        <v>545000</v>
      </c>
      <c r="Z9" s="38">
        <v>545000</v>
      </c>
    </row>
    <row r="10" spans="1:26" x14ac:dyDescent="0.4">
      <c r="A10" s="1">
        <f t="shared" ref="A10:A68" si="1">A9+1</f>
        <v>2027</v>
      </c>
      <c r="B10" s="38">
        <v>545000</v>
      </c>
      <c r="C10" s="38">
        <v>496000</v>
      </c>
      <c r="D10" s="38">
        <v>545000</v>
      </c>
      <c r="E10" s="38">
        <v>545000</v>
      </c>
      <c r="F10" s="38">
        <v>496000</v>
      </c>
      <c r="G10" s="38">
        <v>545000</v>
      </c>
      <c r="H10" s="38">
        <v>545000</v>
      </c>
      <c r="I10" s="38">
        <v>545000</v>
      </c>
      <c r="J10" s="38">
        <v>545000</v>
      </c>
      <c r="K10" s="38">
        <v>545000</v>
      </c>
      <c r="L10" s="38">
        <v>545000</v>
      </c>
      <c r="M10" s="38">
        <v>545000</v>
      </c>
      <c r="N10" s="38">
        <v>545000</v>
      </c>
      <c r="O10" s="38">
        <v>545000</v>
      </c>
      <c r="P10" s="38">
        <v>447000</v>
      </c>
      <c r="Q10" s="38">
        <v>506000</v>
      </c>
      <c r="R10" s="38">
        <v>523000</v>
      </c>
      <c r="S10" s="38">
        <v>517000</v>
      </c>
      <c r="T10" s="38">
        <v>545000</v>
      </c>
      <c r="U10" s="38">
        <v>399000</v>
      </c>
      <c r="V10" s="38">
        <v>447000</v>
      </c>
      <c r="W10" s="38">
        <v>545000</v>
      </c>
      <c r="X10" s="38">
        <v>495000</v>
      </c>
      <c r="Y10" s="38">
        <v>545000</v>
      </c>
      <c r="Z10" s="38">
        <v>545000</v>
      </c>
    </row>
    <row r="11" spans="1:26" x14ac:dyDescent="0.4">
      <c r="A11" s="1">
        <f t="shared" si="1"/>
        <v>2028</v>
      </c>
      <c r="B11" s="38">
        <v>447000</v>
      </c>
      <c r="C11" s="38">
        <v>496000</v>
      </c>
      <c r="D11" s="38">
        <v>545000</v>
      </c>
      <c r="E11" s="38">
        <v>545000</v>
      </c>
      <c r="F11" s="38">
        <v>496000</v>
      </c>
      <c r="G11" s="38">
        <v>545000</v>
      </c>
      <c r="H11" s="38">
        <v>545000</v>
      </c>
      <c r="I11" s="38">
        <v>545000</v>
      </c>
      <c r="J11" s="38">
        <v>545000</v>
      </c>
      <c r="K11" s="38">
        <v>545000</v>
      </c>
      <c r="L11" s="38">
        <v>545000</v>
      </c>
      <c r="M11" s="38">
        <v>545000</v>
      </c>
      <c r="N11" s="38">
        <v>545000</v>
      </c>
      <c r="O11" s="38">
        <v>545000</v>
      </c>
      <c r="P11" s="38">
        <v>447000</v>
      </c>
      <c r="Q11" s="38">
        <v>506000</v>
      </c>
      <c r="R11" s="38">
        <v>523000</v>
      </c>
      <c r="S11" s="38">
        <v>517000</v>
      </c>
      <c r="T11" s="38">
        <v>545000</v>
      </c>
      <c r="U11" s="38">
        <v>399000</v>
      </c>
      <c r="V11" s="38">
        <v>447000</v>
      </c>
      <c r="W11" s="38">
        <v>545000</v>
      </c>
      <c r="X11" s="38">
        <v>495000</v>
      </c>
      <c r="Y11" s="38">
        <v>467000</v>
      </c>
      <c r="Z11" s="38">
        <v>545000</v>
      </c>
    </row>
    <row r="12" spans="1:26" x14ac:dyDescent="0.4">
      <c r="A12" s="1">
        <f t="shared" si="1"/>
        <v>2029</v>
      </c>
      <c r="B12" s="38">
        <v>369000</v>
      </c>
      <c r="C12" s="38">
        <v>496000</v>
      </c>
      <c r="D12" s="38">
        <v>545000</v>
      </c>
      <c r="E12" s="38">
        <v>545000</v>
      </c>
      <c r="F12" s="38">
        <v>496000</v>
      </c>
      <c r="G12" s="38">
        <v>545000</v>
      </c>
      <c r="H12" s="38">
        <v>545000</v>
      </c>
      <c r="I12" s="38">
        <v>545000</v>
      </c>
      <c r="J12" s="38">
        <v>545000</v>
      </c>
      <c r="K12" s="38">
        <v>545000</v>
      </c>
      <c r="L12" s="38">
        <v>517000</v>
      </c>
      <c r="M12" s="38">
        <v>545000</v>
      </c>
      <c r="N12" s="38">
        <v>545000</v>
      </c>
      <c r="O12" s="38">
        <v>545000</v>
      </c>
      <c r="P12" s="38">
        <v>447000</v>
      </c>
      <c r="Q12" s="38">
        <v>506000</v>
      </c>
      <c r="R12" s="38">
        <v>453000</v>
      </c>
      <c r="S12" s="38">
        <v>517000</v>
      </c>
      <c r="T12" s="38">
        <v>545000</v>
      </c>
      <c r="U12" s="38">
        <v>399000</v>
      </c>
      <c r="V12" s="38">
        <v>447000</v>
      </c>
      <c r="W12" s="38">
        <v>495000</v>
      </c>
      <c r="X12" s="38">
        <v>495000</v>
      </c>
      <c r="Y12" s="38">
        <v>467000</v>
      </c>
      <c r="Z12" s="38">
        <v>449000</v>
      </c>
    </row>
    <row r="13" spans="1:26" x14ac:dyDescent="0.4">
      <c r="A13" s="1">
        <f t="shared" si="1"/>
        <v>2030</v>
      </c>
      <c r="B13" s="38">
        <v>369000</v>
      </c>
      <c r="C13" s="38">
        <v>496000</v>
      </c>
      <c r="D13" s="38">
        <v>545000</v>
      </c>
      <c r="E13" s="38">
        <v>545000</v>
      </c>
      <c r="F13" s="38">
        <v>496000</v>
      </c>
      <c r="G13" s="38">
        <v>545000</v>
      </c>
      <c r="H13" s="38">
        <v>495000</v>
      </c>
      <c r="I13" s="38">
        <v>525000</v>
      </c>
      <c r="J13" s="38">
        <v>545000</v>
      </c>
      <c r="K13" s="38">
        <v>545000</v>
      </c>
      <c r="L13" s="38">
        <v>517000</v>
      </c>
      <c r="M13" s="38">
        <v>545000</v>
      </c>
      <c r="N13" s="38">
        <v>545000</v>
      </c>
      <c r="O13" s="38">
        <v>545000</v>
      </c>
      <c r="P13" s="38">
        <v>447000</v>
      </c>
      <c r="Q13" s="38">
        <v>506000</v>
      </c>
      <c r="R13" s="38">
        <v>453000</v>
      </c>
      <c r="S13" s="38">
        <v>517000</v>
      </c>
      <c r="T13" s="38">
        <v>545000</v>
      </c>
      <c r="U13" s="38">
        <v>399000</v>
      </c>
      <c r="V13" s="38">
        <v>447000</v>
      </c>
      <c r="W13" s="38">
        <v>495000</v>
      </c>
      <c r="X13" s="38">
        <v>495000</v>
      </c>
      <c r="Y13" s="38">
        <v>467000</v>
      </c>
      <c r="Z13" s="38">
        <v>449000</v>
      </c>
    </row>
    <row r="14" spans="1:26" x14ac:dyDescent="0.4">
      <c r="A14" s="1">
        <f t="shared" si="1"/>
        <v>2031</v>
      </c>
      <c r="B14" s="38">
        <v>369000</v>
      </c>
      <c r="C14" s="38">
        <v>496000</v>
      </c>
      <c r="D14" s="38">
        <v>545000</v>
      </c>
      <c r="E14" s="38">
        <v>545000</v>
      </c>
      <c r="F14" s="38">
        <v>496000</v>
      </c>
      <c r="G14" s="38">
        <v>495000</v>
      </c>
      <c r="H14" s="38">
        <v>495000</v>
      </c>
      <c r="I14" s="38">
        <v>525000</v>
      </c>
      <c r="J14" s="38">
        <v>545000</v>
      </c>
      <c r="K14" s="38">
        <v>545000</v>
      </c>
      <c r="L14" s="38">
        <v>419000</v>
      </c>
      <c r="M14" s="38">
        <v>545000</v>
      </c>
      <c r="N14" s="38">
        <v>545000</v>
      </c>
      <c r="O14" s="38">
        <v>545000</v>
      </c>
      <c r="P14" s="38">
        <v>447000</v>
      </c>
      <c r="Q14" s="38">
        <v>506000</v>
      </c>
      <c r="R14" s="38">
        <v>453000</v>
      </c>
      <c r="S14" s="38">
        <v>517000</v>
      </c>
      <c r="T14" s="38">
        <v>467000</v>
      </c>
      <c r="U14" s="38">
        <v>399000</v>
      </c>
      <c r="V14" s="38">
        <v>447000</v>
      </c>
      <c r="W14" s="38">
        <v>495000</v>
      </c>
      <c r="X14" s="38">
        <v>495000</v>
      </c>
      <c r="Y14" s="38">
        <v>467000</v>
      </c>
      <c r="Z14" s="38">
        <v>449000</v>
      </c>
    </row>
    <row r="15" spans="1:26" x14ac:dyDescent="0.4">
      <c r="A15" s="1">
        <f t="shared" si="1"/>
        <v>2032</v>
      </c>
      <c r="B15" s="38">
        <v>320000</v>
      </c>
      <c r="C15" s="38">
        <v>496000</v>
      </c>
      <c r="D15" s="38">
        <v>545000</v>
      </c>
      <c r="E15" s="38">
        <v>545000</v>
      </c>
      <c r="F15" s="38">
        <v>496000</v>
      </c>
      <c r="G15" s="38">
        <v>456000</v>
      </c>
      <c r="H15" s="38">
        <v>495000</v>
      </c>
      <c r="I15" s="38">
        <v>447000</v>
      </c>
      <c r="J15" s="38">
        <v>545000</v>
      </c>
      <c r="K15" s="38">
        <v>545000</v>
      </c>
      <c r="L15" s="38">
        <v>369000</v>
      </c>
      <c r="M15" s="38">
        <v>447000</v>
      </c>
      <c r="N15" s="38">
        <v>545000</v>
      </c>
      <c r="O15" s="38">
        <v>545000</v>
      </c>
      <c r="P15" s="38">
        <v>419000</v>
      </c>
      <c r="Q15" s="38">
        <v>457000</v>
      </c>
      <c r="R15" s="38">
        <v>453000</v>
      </c>
      <c r="S15" s="38">
        <v>468000</v>
      </c>
      <c r="T15" s="38">
        <v>467000</v>
      </c>
      <c r="U15" s="38">
        <v>399000</v>
      </c>
      <c r="V15" s="38">
        <v>447000</v>
      </c>
      <c r="W15" s="38">
        <v>495000</v>
      </c>
      <c r="X15" s="38">
        <v>495000</v>
      </c>
      <c r="Y15" s="38">
        <v>467000</v>
      </c>
      <c r="Z15" s="38">
        <v>449000</v>
      </c>
    </row>
    <row r="16" spans="1:26" x14ac:dyDescent="0.4">
      <c r="A16" s="1">
        <f t="shared" si="1"/>
        <v>2033</v>
      </c>
      <c r="B16" s="38">
        <v>320000</v>
      </c>
      <c r="C16" s="38">
        <v>496000</v>
      </c>
      <c r="D16" s="38">
        <v>447000</v>
      </c>
      <c r="E16" s="38">
        <v>545000</v>
      </c>
      <c r="F16" s="38">
        <v>496000</v>
      </c>
      <c r="G16" s="38">
        <v>360000</v>
      </c>
      <c r="H16" s="38">
        <v>495000</v>
      </c>
      <c r="I16" s="38">
        <v>447000</v>
      </c>
      <c r="J16" s="38">
        <v>467000</v>
      </c>
      <c r="K16" s="38">
        <v>545000</v>
      </c>
      <c r="L16" s="38">
        <v>369000</v>
      </c>
      <c r="M16" s="38">
        <v>382000</v>
      </c>
      <c r="N16" s="38">
        <v>545000</v>
      </c>
      <c r="O16" s="38">
        <v>545000</v>
      </c>
      <c r="P16" s="38">
        <v>419000</v>
      </c>
      <c r="Q16" s="38">
        <v>457000</v>
      </c>
      <c r="R16" s="38">
        <v>453000</v>
      </c>
      <c r="S16" s="38">
        <v>468000</v>
      </c>
      <c r="T16" s="38">
        <v>467000</v>
      </c>
      <c r="U16" s="38">
        <v>379000</v>
      </c>
      <c r="V16" s="38">
        <v>419000</v>
      </c>
      <c r="W16" s="38">
        <v>446000</v>
      </c>
      <c r="X16" s="38">
        <v>436000</v>
      </c>
      <c r="Y16" s="38">
        <v>467000</v>
      </c>
      <c r="Z16" s="38">
        <v>449000</v>
      </c>
    </row>
    <row r="17" spans="1:26" x14ac:dyDescent="0.4">
      <c r="A17" s="1">
        <f t="shared" si="1"/>
        <v>2034</v>
      </c>
      <c r="B17" s="38">
        <v>300000</v>
      </c>
      <c r="C17" s="38">
        <v>496000</v>
      </c>
      <c r="D17" s="38">
        <v>447000</v>
      </c>
      <c r="E17" s="38">
        <v>545000</v>
      </c>
      <c r="F17" s="38">
        <v>496000</v>
      </c>
      <c r="G17" s="38">
        <v>360000</v>
      </c>
      <c r="H17" s="38">
        <v>379000</v>
      </c>
      <c r="I17" s="38">
        <v>447000</v>
      </c>
      <c r="J17" s="38">
        <v>467000</v>
      </c>
      <c r="K17" s="38">
        <v>545000</v>
      </c>
      <c r="L17" s="38">
        <v>369000</v>
      </c>
      <c r="M17" s="38">
        <v>382000</v>
      </c>
      <c r="N17" s="38">
        <v>545000</v>
      </c>
      <c r="O17" s="38">
        <v>545000</v>
      </c>
      <c r="P17" s="38">
        <v>370000</v>
      </c>
      <c r="Q17" s="38">
        <v>457000</v>
      </c>
      <c r="R17" s="38">
        <v>453000</v>
      </c>
      <c r="S17" s="38">
        <v>468000</v>
      </c>
      <c r="T17" s="38">
        <v>447000</v>
      </c>
      <c r="U17" s="38">
        <v>281000</v>
      </c>
      <c r="V17" s="38">
        <v>399000</v>
      </c>
      <c r="W17" s="38">
        <v>446000</v>
      </c>
      <c r="X17" s="38">
        <v>436000</v>
      </c>
      <c r="Y17" s="38">
        <v>467000</v>
      </c>
      <c r="Z17" s="38">
        <v>449000</v>
      </c>
    </row>
    <row r="18" spans="1:26" x14ac:dyDescent="0.4">
      <c r="A18" s="1">
        <f t="shared" si="1"/>
        <v>2035</v>
      </c>
      <c r="B18" s="38">
        <v>250000</v>
      </c>
      <c r="C18" s="38">
        <v>457000</v>
      </c>
      <c r="D18" s="38">
        <v>447000</v>
      </c>
      <c r="E18" s="38">
        <v>545000</v>
      </c>
      <c r="F18" s="38">
        <v>446000</v>
      </c>
      <c r="G18" s="38">
        <v>360000</v>
      </c>
      <c r="H18" s="38">
        <v>379000</v>
      </c>
      <c r="I18" s="38">
        <v>398000</v>
      </c>
      <c r="J18" s="38">
        <v>402000</v>
      </c>
      <c r="K18" s="38">
        <v>545000</v>
      </c>
      <c r="L18" s="38">
        <v>369000</v>
      </c>
      <c r="M18" s="38">
        <v>354000</v>
      </c>
      <c r="N18" s="38">
        <v>545000</v>
      </c>
      <c r="O18" s="38">
        <v>545000</v>
      </c>
      <c r="P18" s="38">
        <v>370000</v>
      </c>
      <c r="Q18" s="38">
        <v>457000</v>
      </c>
      <c r="R18" s="38">
        <v>453000</v>
      </c>
      <c r="S18" s="38">
        <v>468000</v>
      </c>
      <c r="T18" s="38">
        <v>398000</v>
      </c>
      <c r="U18" s="38">
        <v>281000</v>
      </c>
      <c r="V18" s="38">
        <v>399000</v>
      </c>
      <c r="W18" s="38">
        <v>446000</v>
      </c>
      <c r="X18" s="38">
        <v>436000</v>
      </c>
      <c r="Y18" s="38">
        <v>467000</v>
      </c>
      <c r="Z18" s="38">
        <v>449000</v>
      </c>
    </row>
    <row r="19" spans="1:26" x14ac:dyDescent="0.4">
      <c r="A19" s="1">
        <f t="shared" si="1"/>
        <v>2036</v>
      </c>
      <c r="B19" s="38">
        <v>250000</v>
      </c>
      <c r="C19" s="38">
        <v>392000</v>
      </c>
      <c r="D19" s="38">
        <v>447000</v>
      </c>
      <c r="E19" s="38">
        <v>447000</v>
      </c>
      <c r="F19" s="38">
        <v>446000</v>
      </c>
      <c r="G19" s="38">
        <v>311000</v>
      </c>
      <c r="H19" s="38">
        <v>379000</v>
      </c>
      <c r="I19" s="38">
        <v>348000</v>
      </c>
      <c r="J19" s="38">
        <v>380000</v>
      </c>
      <c r="K19" s="38">
        <v>467000</v>
      </c>
      <c r="L19" s="38">
        <v>369000</v>
      </c>
      <c r="M19" s="38">
        <v>354000</v>
      </c>
      <c r="N19" s="38">
        <v>545000</v>
      </c>
      <c r="O19" s="38">
        <v>467000</v>
      </c>
      <c r="P19" s="38">
        <v>370000</v>
      </c>
      <c r="Q19" s="38">
        <v>457000</v>
      </c>
      <c r="R19" s="38">
        <v>453000</v>
      </c>
      <c r="S19" s="38">
        <v>468000</v>
      </c>
      <c r="T19" s="38">
        <v>300000</v>
      </c>
      <c r="U19" s="38">
        <v>281000</v>
      </c>
      <c r="V19" s="38">
        <v>399000</v>
      </c>
      <c r="W19" s="38">
        <v>446000</v>
      </c>
      <c r="X19" s="38">
        <v>436000</v>
      </c>
      <c r="Y19" s="38">
        <v>467000</v>
      </c>
      <c r="Z19" s="38">
        <v>449000</v>
      </c>
    </row>
    <row r="20" spans="1:26" x14ac:dyDescent="0.4">
      <c r="A20" s="1">
        <f t="shared" si="1"/>
        <v>2037</v>
      </c>
      <c r="B20" s="38">
        <v>250000</v>
      </c>
      <c r="C20" s="38">
        <v>392000</v>
      </c>
      <c r="D20" s="38">
        <v>447000</v>
      </c>
      <c r="E20" s="38">
        <v>447000</v>
      </c>
      <c r="F20" s="38">
        <v>446000</v>
      </c>
      <c r="G20" s="38">
        <v>311000</v>
      </c>
      <c r="H20" s="38">
        <v>379000</v>
      </c>
      <c r="I20" s="38">
        <v>348000</v>
      </c>
      <c r="J20" s="38">
        <v>193000</v>
      </c>
      <c r="K20" s="38">
        <v>417000</v>
      </c>
      <c r="L20" s="38">
        <v>255000</v>
      </c>
      <c r="M20" s="38">
        <v>304000</v>
      </c>
      <c r="N20" s="38">
        <v>495000</v>
      </c>
      <c r="O20" s="38">
        <v>369000</v>
      </c>
      <c r="P20" s="38">
        <v>370000</v>
      </c>
      <c r="Q20" s="38">
        <v>457000</v>
      </c>
      <c r="R20" s="38">
        <v>388000</v>
      </c>
      <c r="S20" s="38">
        <v>370000</v>
      </c>
      <c r="T20" s="38">
        <v>300000</v>
      </c>
      <c r="U20" s="38">
        <v>281000</v>
      </c>
      <c r="V20" s="38">
        <v>399000</v>
      </c>
      <c r="W20" s="38">
        <v>446000</v>
      </c>
      <c r="X20" s="38">
        <v>436000</v>
      </c>
      <c r="Y20" s="38">
        <v>467000</v>
      </c>
      <c r="Z20" s="38">
        <v>400000</v>
      </c>
    </row>
    <row r="21" spans="1:26" x14ac:dyDescent="0.4">
      <c r="A21" s="1">
        <f t="shared" si="1"/>
        <v>2038</v>
      </c>
      <c r="B21" s="38">
        <v>250000</v>
      </c>
      <c r="C21" s="38">
        <v>392000</v>
      </c>
      <c r="D21" s="38">
        <v>447000</v>
      </c>
      <c r="E21" s="38">
        <v>447000</v>
      </c>
      <c r="F21" s="38">
        <v>368000</v>
      </c>
      <c r="G21" s="38">
        <v>311000</v>
      </c>
      <c r="H21" s="38">
        <v>379000</v>
      </c>
      <c r="I21" s="38">
        <v>348000</v>
      </c>
      <c r="J21" s="38">
        <v>144000</v>
      </c>
      <c r="K21" s="38">
        <v>417000</v>
      </c>
      <c r="L21" s="38">
        <v>157000</v>
      </c>
      <c r="M21" s="38">
        <v>208000</v>
      </c>
      <c r="N21" s="38">
        <v>446000</v>
      </c>
      <c r="O21" s="38">
        <v>369000</v>
      </c>
      <c r="P21" s="38">
        <v>370000</v>
      </c>
      <c r="Q21" s="38">
        <v>359000</v>
      </c>
      <c r="R21" s="38">
        <v>349000</v>
      </c>
      <c r="S21" s="38">
        <v>370000</v>
      </c>
      <c r="T21" s="38">
        <v>300000</v>
      </c>
      <c r="U21" s="38">
        <v>281000</v>
      </c>
      <c r="V21" s="38">
        <v>399000</v>
      </c>
      <c r="W21" s="38">
        <v>446000</v>
      </c>
      <c r="X21" s="38">
        <v>436000</v>
      </c>
      <c r="Y21" s="38">
        <v>467000</v>
      </c>
      <c r="Z21" s="38">
        <v>400000</v>
      </c>
    </row>
    <row r="22" spans="1:26" x14ac:dyDescent="0.4">
      <c r="A22" s="1">
        <f t="shared" si="1"/>
        <v>2039</v>
      </c>
      <c r="B22" s="38">
        <v>250000</v>
      </c>
      <c r="C22" s="38">
        <v>314000</v>
      </c>
      <c r="D22" s="38">
        <v>349000</v>
      </c>
      <c r="E22" s="38">
        <v>398000</v>
      </c>
      <c r="F22" s="38">
        <v>368000</v>
      </c>
      <c r="G22" s="38">
        <v>311000</v>
      </c>
      <c r="H22" s="38">
        <v>340000</v>
      </c>
      <c r="I22" s="38">
        <v>348000</v>
      </c>
      <c r="J22" s="38">
        <v>48000</v>
      </c>
      <c r="K22" s="38">
        <v>321000</v>
      </c>
      <c r="L22" s="38">
        <v>157000</v>
      </c>
      <c r="M22" s="38">
        <v>208000</v>
      </c>
      <c r="N22" s="38">
        <v>446000</v>
      </c>
      <c r="O22" s="38">
        <v>369000</v>
      </c>
      <c r="P22" s="38">
        <v>320000</v>
      </c>
      <c r="Q22" s="38">
        <v>359000</v>
      </c>
      <c r="R22" s="38">
        <v>349000</v>
      </c>
      <c r="S22" s="38">
        <v>370000</v>
      </c>
      <c r="T22" s="38">
        <v>300000</v>
      </c>
      <c r="U22" s="38">
        <v>281000</v>
      </c>
      <c r="V22" s="38">
        <v>349000</v>
      </c>
      <c r="W22" s="38">
        <v>368000</v>
      </c>
      <c r="X22" s="38">
        <v>436000</v>
      </c>
      <c r="Y22" s="38">
        <v>467000</v>
      </c>
      <c r="Z22" s="38">
        <v>322000</v>
      </c>
    </row>
    <row r="23" spans="1:26" x14ac:dyDescent="0.4">
      <c r="A23" s="1">
        <f t="shared" si="1"/>
        <v>2040</v>
      </c>
      <c r="B23" s="38">
        <v>250000</v>
      </c>
      <c r="C23" s="38">
        <v>314000</v>
      </c>
      <c r="D23" s="38">
        <v>214000</v>
      </c>
      <c r="E23" s="38">
        <v>302000</v>
      </c>
      <c r="F23" s="38">
        <v>205000</v>
      </c>
      <c r="G23" s="38">
        <v>311000</v>
      </c>
      <c r="H23" s="38">
        <v>340000</v>
      </c>
      <c r="I23" s="38">
        <v>250000</v>
      </c>
      <c r="J23" s="38">
        <v>48000</v>
      </c>
      <c r="K23" s="38">
        <v>321000</v>
      </c>
      <c r="L23" s="38">
        <v>157000</v>
      </c>
      <c r="M23" s="38">
        <v>208000</v>
      </c>
      <c r="N23" s="38">
        <v>446000</v>
      </c>
      <c r="O23" s="38">
        <v>369000</v>
      </c>
      <c r="P23" s="38">
        <v>320000</v>
      </c>
      <c r="Q23" s="38">
        <v>309000</v>
      </c>
      <c r="R23" s="38">
        <v>349000</v>
      </c>
      <c r="S23" s="38">
        <v>370000</v>
      </c>
      <c r="T23" s="38">
        <v>261000</v>
      </c>
      <c r="U23" s="38">
        <v>281000</v>
      </c>
      <c r="V23" s="38">
        <v>349000</v>
      </c>
      <c r="W23" s="38">
        <v>368000</v>
      </c>
      <c r="X23" s="38">
        <v>436000</v>
      </c>
      <c r="Y23" s="38">
        <v>467000</v>
      </c>
      <c r="Z23" s="38">
        <v>322000</v>
      </c>
    </row>
    <row r="24" spans="1:26" x14ac:dyDescent="0.4">
      <c r="A24" s="1">
        <f t="shared" si="1"/>
        <v>2041</v>
      </c>
      <c r="B24" s="38">
        <v>154000</v>
      </c>
      <c r="C24" s="38">
        <v>314000</v>
      </c>
      <c r="D24" s="38">
        <v>214000</v>
      </c>
      <c r="E24" s="38">
        <v>302000</v>
      </c>
      <c r="F24" s="38">
        <v>205000</v>
      </c>
      <c r="G24" s="38">
        <v>311000</v>
      </c>
      <c r="H24" s="38">
        <v>340000</v>
      </c>
      <c r="I24" s="38">
        <v>250000</v>
      </c>
      <c r="J24" s="38">
        <v>48000</v>
      </c>
      <c r="K24" s="38">
        <v>272000</v>
      </c>
      <c r="L24" s="38">
        <v>157000</v>
      </c>
      <c r="M24" s="38">
        <v>208000</v>
      </c>
      <c r="N24" s="38">
        <v>350000</v>
      </c>
      <c r="O24" s="38">
        <v>369000</v>
      </c>
      <c r="P24" s="38">
        <v>320000</v>
      </c>
      <c r="Q24" s="38">
        <v>287000</v>
      </c>
      <c r="R24" s="38">
        <v>251000</v>
      </c>
      <c r="S24" s="38">
        <v>255000</v>
      </c>
      <c r="T24" s="38">
        <v>261000</v>
      </c>
      <c r="U24" s="38">
        <v>281000</v>
      </c>
      <c r="V24" s="38">
        <v>310000</v>
      </c>
      <c r="W24" s="38">
        <v>368000</v>
      </c>
      <c r="X24" s="38">
        <v>358000</v>
      </c>
      <c r="Y24" s="38">
        <v>467000</v>
      </c>
      <c r="Z24" s="38">
        <v>322000</v>
      </c>
    </row>
    <row r="25" spans="1:26" x14ac:dyDescent="0.4">
      <c r="A25" s="1">
        <f t="shared" si="1"/>
        <v>2042</v>
      </c>
      <c r="B25" s="38">
        <v>154000</v>
      </c>
      <c r="C25" s="38">
        <v>294000</v>
      </c>
      <c r="D25" s="38">
        <v>164000</v>
      </c>
      <c r="E25" s="38">
        <v>204000</v>
      </c>
      <c r="F25" s="38">
        <v>177000</v>
      </c>
      <c r="G25" s="38">
        <v>311000</v>
      </c>
      <c r="H25" s="38">
        <v>340000</v>
      </c>
      <c r="I25" s="38">
        <v>185000</v>
      </c>
      <c r="J25" s="38">
        <v>48000</v>
      </c>
      <c r="K25" s="38">
        <v>252000</v>
      </c>
      <c r="L25" s="38">
        <v>118000</v>
      </c>
      <c r="M25" s="38">
        <v>208000</v>
      </c>
      <c r="N25" s="38">
        <v>252000</v>
      </c>
      <c r="O25" s="38">
        <v>319000</v>
      </c>
      <c r="P25" s="38">
        <v>242000</v>
      </c>
      <c r="Q25" s="38">
        <v>287000</v>
      </c>
      <c r="R25" s="38">
        <v>251000</v>
      </c>
      <c r="S25" s="38">
        <v>216000</v>
      </c>
      <c r="T25" s="38">
        <v>211000</v>
      </c>
      <c r="U25" s="38">
        <v>232000</v>
      </c>
      <c r="V25" s="38">
        <v>310000</v>
      </c>
      <c r="W25" s="38">
        <v>368000</v>
      </c>
      <c r="X25" s="38">
        <v>330000</v>
      </c>
      <c r="Y25" s="38">
        <v>467000</v>
      </c>
      <c r="Z25" s="38">
        <v>322000</v>
      </c>
    </row>
    <row r="26" spans="1:26" x14ac:dyDescent="0.4">
      <c r="A26" s="1">
        <f t="shared" si="1"/>
        <v>2043</v>
      </c>
      <c r="B26" s="38">
        <v>154000</v>
      </c>
      <c r="C26" s="38">
        <v>272000</v>
      </c>
      <c r="D26" s="38">
        <v>164000</v>
      </c>
      <c r="E26" s="38">
        <v>154000</v>
      </c>
      <c r="F26" s="38">
        <v>157000</v>
      </c>
      <c r="G26" s="38">
        <v>289000</v>
      </c>
      <c r="H26" s="38">
        <v>262000</v>
      </c>
      <c r="I26" s="38">
        <v>185000</v>
      </c>
      <c r="J26" s="38">
        <v>48000</v>
      </c>
      <c r="K26" s="38">
        <v>252000</v>
      </c>
      <c r="L26" s="38">
        <v>118000</v>
      </c>
      <c r="M26" s="38">
        <v>159000</v>
      </c>
      <c r="N26" s="38">
        <v>252000</v>
      </c>
      <c r="O26" s="38">
        <v>254000</v>
      </c>
      <c r="P26" s="38">
        <v>242000</v>
      </c>
      <c r="Q26" s="38">
        <v>222000</v>
      </c>
      <c r="R26" s="38">
        <v>251000</v>
      </c>
      <c r="S26" s="38">
        <v>216000</v>
      </c>
      <c r="T26" s="38">
        <v>211000</v>
      </c>
      <c r="U26" s="38">
        <v>154000</v>
      </c>
      <c r="V26" s="38">
        <v>310000</v>
      </c>
      <c r="W26" s="38">
        <v>368000</v>
      </c>
      <c r="X26" s="38">
        <v>232000</v>
      </c>
      <c r="Y26" s="38">
        <v>418000</v>
      </c>
      <c r="Z26" s="38">
        <v>322000</v>
      </c>
    </row>
    <row r="27" spans="1:26" x14ac:dyDescent="0.4">
      <c r="A27" s="1">
        <f t="shared" si="1"/>
        <v>2044</v>
      </c>
      <c r="B27" s="38">
        <v>154000</v>
      </c>
      <c r="C27" s="38">
        <v>174000</v>
      </c>
      <c r="D27" s="38">
        <v>164000</v>
      </c>
      <c r="E27" s="38">
        <v>115000</v>
      </c>
      <c r="F27" s="38">
        <v>157000</v>
      </c>
      <c r="G27" s="38">
        <v>191000</v>
      </c>
      <c r="H27" s="38">
        <v>262000</v>
      </c>
      <c r="I27" s="38">
        <v>157000</v>
      </c>
      <c r="J27" s="38">
        <v>48000</v>
      </c>
      <c r="K27" s="38">
        <v>252000</v>
      </c>
      <c r="L27" s="38">
        <v>118000</v>
      </c>
      <c r="M27" s="38">
        <v>159000</v>
      </c>
      <c r="N27" s="38">
        <v>154000</v>
      </c>
      <c r="O27" s="38">
        <v>158000</v>
      </c>
      <c r="P27" s="38">
        <v>242000</v>
      </c>
      <c r="Q27" s="38">
        <v>222000</v>
      </c>
      <c r="R27" s="38">
        <v>251000</v>
      </c>
      <c r="S27" s="38">
        <v>216000</v>
      </c>
      <c r="T27" s="38">
        <v>211000</v>
      </c>
      <c r="U27" s="38">
        <v>154000</v>
      </c>
      <c r="V27" s="38">
        <v>261000</v>
      </c>
      <c r="W27" s="38">
        <v>348000</v>
      </c>
      <c r="X27" s="38">
        <v>167000</v>
      </c>
      <c r="Y27" s="38">
        <v>368000</v>
      </c>
      <c r="Z27" s="38">
        <v>322000</v>
      </c>
    </row>
    <row r="28" spans="1:26" x14ac:dyDescent="0.4">
      <c r="A28" s="1">
        <f t="shared" si="1"/>
        <v>2045</v>
      </c>
      <c r="B28" s="38">
        <v>89000</v>
      </c>
      <c r="C28" s="38">
        <v>174000</v>
      </c>
      <c r="D28" s="38">
        <v>164000</v>
      </c>
      <c r="E28" s="38">
        <v>115000</v>
      </c>
      <c r="F28" s="38">
        <v>157000</v>
      </c>
      <c r="G28" s="38">
        <v>191000</v>
      </c>
      <c r="H28" s="38">
        <v>262000</v>
      </c>
      <c r="I28" s="38">
        <v>157000</v>
      </c>
      <c r="J28" s="38">
        <v>48000</v>
      </c>
      <c r="K28" s="38">
        <v>154000</v>
      </c>
      <c r="L28" s="38">
        <v>118000</v>
      </c>
      <c r="M28" s="38">
        <v>159000</v>
      </c>
      <c r="N28" s="38">
        <v>126000</v>
      </c>
      <c r="O28" s="38">
        <v>116000</v>
      </c>
      <c r="P28" s="38">
        <v>242000</v>
      </c>
      <c r="Q28" s="38">
        <v>202000</v>
      </c>
      <c r="R28" s="38">
        <v>251000</v>
      </c>
      <c r="S28" s="38">
        <v>216000</v>
      </c>
      <c r="T28" s="38">
        <v>183000</v>
      </c>
      <c r="U28" s="38">
        <v>154000</v>
      </c>
      <c r="V28" s="38">
        <v>261000</v>
      </c>
      <c r="W28" s="38">
        <v>250000</v>
      </c>
      <c r="X28" s="38">
        <v>118000</v>
      </c>
      <c r="Y28" s="38">
        <v>368000</v>
      </c>
      <c r="Z28" s="38">
        <v>322000</v>
      </c>
    </row>
    <row r="29" spans="1:26" x14ac:dyDescent="0.4">
      <c r="A29" s="1">
        <f t="shared" si="1"/>
        <v>2046</v>
      </c>
      <c r="B29" s="38">
        <v>89000</v>
      </c>
      <c r="C29" s="38">
        <v>174000</v>
      </c>
      <c r="D29" s="38">
        <v>164000</v>
      </c>
      <c r="E29" s="38">
        <v>115000</v>
      </c>
      <c r="F29" s="38">
        <v>157000</v>
      </c>
      <c r="G29" s="38">
        <v>191000</v>
      </c>
      <c r="H29" s="38">
        <v>262000</v>
      </c>
      <c r="I29" s="38">
        <v>157000</v>
      </c>
      <c r="J29" s="38">
        <v>28000</v>
      </c>
      <c r="K29" s="38">
        <v>154000</v>
      </c>
      <c r="L29" s="38">
        <v>118000</v>
      </c>
      <c r="M29" s="38">
        <v>159000</v>
      </c>
      <c r="N29" s="38">
        <v>126000</v>
      </c>
      <c r="O29" s="38">
        <v>67000</v>
      </c>
      <c r="P29" s="38">
        <v>157000</v>
      </c>
      <c r="Q29" s="38">
        <v>202000</v>
      </c>
      <c r="R29" s="38">
        <v>251000</v>
      </c>
      <c r="S29" s="38">
        <v>216000</v>
      </c>
      <c r="T29" s="38">
        <v>183000</v>
      </c>
      <c r="U29" s="38">
        <v>154000</v>
      </c>
      <c r="V29" s="38">
        <v>261000</v>
      </c>
      <c r="W29" s="38">
        <v>222000</v>
      </c>
      <c r="X29" s="38">
        <v>118000</v>
      </c>
      <c r="Y29" s="38">
        <v>272000</v>
      </c>
      <c r="Z29" s="38">
        <v>283000</v>
      </c>
    </row>
    <row r="30" spans="1:26" x14ac:dyDescent="0.4">
      <c r="A30" s="1">
        <f t="shared" si="1"/>
        <v>2047</v>
      </c>
      <c r="B30" s="38">
        <v>89000</v>
      </c>
      <c r="C30" s="38">
        <v>124000</v>
      </c>
      <c r="D30" s="38">
        <v>164000</v>
      </c>
      <c r="E30" s="38">
        <v>115000</v>
      </c>
      <c r="F30" s="38">
        <v>157000</v>
      </c>
      <c r="G30" s="38">
        <v>191000</v>
      </c>
      <c r="H30" s="38">
        <v>197000</v>
      </c>
      <c r="I30" s="38">
        <v>118000</v>
      </c>
      <c r="J30" s="38">
        <v>28000</v>
      </c>
      <c r="K30" s="38">
        <v>126000</v>
      </c>
      <c r="L30" s="38">
        <v>118000</v>
      </c>
      <c r="M30" s="38">
        <v>61000</v>
      </c>
      <c r="N30" s="38">
        <v>87000</v>
      </c>
      <c r="O30" s="38">
        <v>67000</v>
      </c>
      <c r="P30" s="38">
        <v>61000</v>
      </c>
      <c r="Q30" s="38">
        <v>106000</v>
      </c>
      <c r="R30" s="38">
        <v>251000</v>
      </c>
      <c r="S30" s="38">
        <v>216000</v>
      </c>
      <c r="T30" s="38">
        <v>118000</v>
      </c>
      <c r="U30" s="38">
        <v>154000</v>
      </c>
      <c r="V30" s="38">
        <v>261000</v>
      </c>
      <c r="W30" s="38">
        <v>183000</v>
      </c>
      <c r="X30" s="38">
        <v>118000</v>
      </c>
      <c r="Y30" s="38">
        <v>244000</v>
      </c>
      <c r="Z30" s="38">
        <v>283000</v>
      </c>
    </row>
    <row r="31" spans="1:26" x14ac:dyDescent="0.4">
      <c r="A31" s="1">
        <f t="shared" si="1"/>
        <v>2048</v>
      </c>
      <c r="B31" s="38">
        <v>89000</v>
      </c>
      <c r="C31" s="38">
        <v>124000</v>
      </c>
      <c r="D31" s="38">
        <v>99000</v>
      </c>
      <c r="E31" s="38">
        <v>115000</v>
      </c>
      <c r="F31" s="38">
        <v>157000</v>
      </c>
      <c r="G31" s="38">
        <v>191000</v>
      </c>
      <c r="H31" s="38">
        <v>197000</v>
      </c>
      <c r="I31" s="38">
        <v>118000</v>
      </c>
      <c r="J31" s="38">
        <v>28000</v>
      </c>
      <c r="K31" s="38">
        <v>22000</v>
      </c>
      <c r="L31" s="38">
        <v>22000</v>
      </c>
      <c r="M31" s="38">
        <v>61000</v>
      </c>
      <c r="N31" s="38">
        <v>87000</v>
      </c>
      <c r="O31" s="38">
        <v>67000</v>
      </c>
      <c r="P31" s="38">
        <v>39000</v>
      </c>
      <c r="Q31" s="38">
        <v>78000</v>
      </c>
      <c r="R31" s="38">
        <v>77000</v>
      </c>
      <c r="S31" s="38">
        <v>216000</v>
      </c>
      <c r="T31" s="38">
        <v>118000</v>
      </c>
      <c r="U31" s="38">
        <v>115000</v>
      </c>
      <c r="V31" s="38">
        <v>261000</v>
      </c>
      <c r="W31" s="38">
        <v>87000</v>
      </c>
      <c r="X31" s="38">
        <v>118000</v>
      </c>
      <c r="Y31" s="38">
        <v>205000</v>
      </c>
      <c r="Z31" s="38">
        <v>255000</v>
      </c>
    </row>
    <row r="32" spans="1:26" x14ac:dyDescent="0.4">
      <c r="A32" s="1">
        <f t="shared" si="1"/>
        <v>2049</v>
      </c>
      <c r="B32" s="38">
        <v>61000</v>
      </c>
      <c r="C32" s="38">
        <v>124000</v>
      </c>
      <c r="D32" s="38">
        <v>99000</v>
      </c>
      <c r="E32" s="38">
        <v>87000</v>
      </c>
      <c r="F32" s="38">
        <v>157000</v>
      </c>
      <c r="G32" s="38">
        <v>143000</v>
      </c>
      <c r="H32" s="38">
        <v>99000</v>
      </c>
      <c r="I32" s="38">
        <v>118000</v>
      </c>
      <c r="J32" s="38">
        <v>28000</v>
      </c>
      <c r="K32" s="38">
        <v>22000</v>
      </c>
      <c r="L32" s="38">
        <v>22000</v>
      </c>
      <c r="M32" s="38">
        <v>61000</v>
      </c>
      <c r="N32" s="38">
        <v>87000</v>
      </c>
      <c r="O32" s="38">
        <v>0</v>
      </c>
      <c r="P32" s="38">
        <v>39000</v>
      </c>
      <c r="Q32" s="38">
        <v>0</v>
      </c>
      <c r="R32" s="38">
        <v>77000</v>
      </c>
      <c r="S32" s="38">
        <v>138000</v>
      </c>
      <c r="T32" s="38">
        <v>118000</v>
      </c>
      <c r="U32" s="38">
        <v>93000</v>
      </c>
      <c r="V32" s="38">
        <v>165000</v>
      </c>
      <c r="W32" s="38">
        <v>87000</v>
      </c>
      <c r="X32" s="38">
        <v>118000</v>
      </c>
      <c r="Y32" s="38">
        <v>205000</v>
      </c>
      <c r="Z32" s="38">
        <v>235000</v>
      </c>
    </row>
    <row r="33" spans="1:26" x14ac:dyDescent="0.4">
      <c r="A33" s="1">
        <f t="shared" si="1"/>
        <v>2050</v>
      </c>
      <c r="B33" s="38">
        <v>61000</v>
      </c>
      <c r="C33" s="38">
        <v>124000</v>
      </c>
      <c r="D33" s="38">
        <v>99000</v>
      </c>
      <c r="E33" s="38">
        <v>87000</v>
      </c>
      <c r="F33" s="38">
        <v>157000</v>
      </c>
      <c r="G33" s="38">
        <v>143000</v>
      </c>
      <c r="H33" s="38">
        <v>50000</v>
      </c>
      <c r="I33" s="38">
        <v>22000</v>
      </c>
      <c r="J33" s="38">
        <v>28000</v>
      </c>
      <c r="K33" s="38">
        <v>22000</v>
      </c>
      <c r="L33" s="38">
        <v>22000</v>
      </c>
      <c r="M33" s="38">
        <v>61000</v>
      </c>
      <c r="N33" s="38">
        <v>87000</v>
      </c>
      <c r="O33" s="38">
        <v>0</v>
      </c>
      <c r="P33" s="38">
        <v>39000</v>
      </c>
      <c r="Q33" s="38">
        <v>0</v>
      </c>
      <c r="R33" s="38">
        <v>28000</v>
      </c>
      <c r="S33" s="38">
        <v>42000</v>
      </c>
      <c r="T33" s="38">
        <v>118000</v>
      </c>
      <c r="U33" s="38">
        <v>65000</v>
      </c>
      <c r="V33" s="38">
        <v>87000</v>
      </c>
      <c r="W33" s="38">
        <v>87000</v>
      </c>
      <c r="X33" s="38">
        <v>118000</v>
      </c>
      <c r="Y33" s="38">
        <v>205000</v>
      </c>
      <c r="Z33" s="38">
        <v>235000</v>
      </c>
    </row>
    <row r="34" spans="1:26" x14ac:dyDescent="0.4">
      <c r="A34" s="1">
        <f t="shared" si="1"/>
        <v>2051</v>
      </c>
      <c r="B34" s="38">
        <v>22000</v>
      </c>
      <c r="C34" s="38">
        <v>124000</v>
      </c>
      <c r="D34" s="38">
        <v>50000</v>
      </c>
      <c r="E34" s="38">
        <v>87000</v>
      </c>
      <c r="F34" s="38">
        <v>157000</v>
      </c>
      <c r="G34" s="38">
        <v>65000</v>
      </c>
      <c r="H34" s="38">
        <v>50000</v>
      </c>
      <c r="I34" s="38">
        <v>22000</v>
      </c>
      <c r="J34" s="38">
        <v>28000</v>
      </c>
      <c r="K34" s="38">
        <v>22000</v>
      </c>
      <c r="L34" s="38">
        <v>22000</v>
      </c>
      <c r="M34" s="38">
        <v>61000</v>
      </c>
      <c r="N34" s="38">
        <v>87000</v>
      </c>
      <c r="O34" s="38">
        <v>0</v>
      </c>
      <c r="P34" s="38">
        <v>39000</v>
      </c>
      <c r="Q34" s="38">
        <v>0</v>
      </c>
      <c r="R34" s="38">
        <v>28000</v>
      </c>
      <c r="S34" s="38">
        <v>42000</v>
      </c>
      <c r="T34" s="38">
        <v>118000</v>
      </c>
      <c r="U34" s="38">
        <v>0</v>
      </c>
      <c r="V34" s="38">
        <v>87000</v>
      </c>
      <c r="W34" s="38">
        <v>87000</v>
      </c>
      <c r="X34" s="38">
        <v>118000</v>
      </c>
      <c r="Y34" s="38">
        <v>185000</v>
      </c>
      <c r="Z34" s="38">
        <v>235000</v>
      </c>
    </row>
    <row r="35" spans="1:26" x14ac:dyDescent="0.4">
      <c r="A35" s="1">
        <f t="shared" si="1"/>
        <v>2052</v>
      </c>
      <c r="B35" s="38">
        <v>22000</v>
      </c>
      <c r="C35" s="38">
        <v>124000</v>
      </c>
      <c r="D35" s="38">
        <v>50000</v>
      </c>
      <c r="E35" s="38">
        <v>87000</v>
      </c>
      <c r="F35" s="38">
        <v>157000</v>
      </c>
      <c r="G35" s="38">
        <v>65000</v>
      </c>
      <c r="H35" s="38">
        <v>22000</v>
      </c>
      <c r="I35" s="38">
        <v>22000</v>
      </c>
      <c r="J35" s="38">
        <v>28000</v>
      </c>
      <c r="K35" s="38">
        <v>22000</v>
      </c>
      <c r="L35" s="38">
        <v>22000</v>
      </c>
      <c r="M35" s="38">
        <v>22000</v>
      </c>
      <c r="N35" s="38">
        <v>87000</v>
      </c>
      <c r="O35" s="38">
        <v>0</v>
      </c>
      <c r="P35" s="38">
        <v>39000</v>
      </c>
      <c r="Q35" s="38">
        <v>0</v>
      </c>
      <c r="R35" s="38">
        <v>28000</v>
      </c>
      <c r="S35" s="38">
        <v>42000</v>
      </c>
      <c r="T35" s="38">
        <v>118000</v>
      </c>
      <c r="U35" s="38">
        <v>0</v>
      </c>
      <c r="V35" s="38">
        <v>87000</v>
      </c>
      <c r="W35" s="38">
        <v>22000</v>
      </c>
      <c r="X35" s="38">
        <v>22000</v>
      </c>
      <c r="Y35" s="38">
        <v>87000</v>
      </c>
      <c r="Z35" s="38">
        <v>235000</v>
      </c>
    </row>
    <row r="36" spans="1:26" x14ac:dyDescent="0.4">
      <c r="A36" s="1">
        <f t="shared" si="1"/>
        <v>2053</v>
      </c>
      <c r="B36" s="38">
        <v>22000</v>
      </c>
      <c r="C36" s="38">
        <v>124000</v>
      </c>
      <c r="D36" s="38">
        <v>22000</v>
      </c>
      <c r="E36" s="38">
        <v>87000</v>
      </c>
      <c r="F36" s="38">
        <v>157000</v>
      </c>
      <c r="G36" s="38">
        <v>65000</v>
      </c>
      <c r="H36" s="38">
        <v>22000</v>
      </c>
      <c r="I36" s="38">
        <v>22000</v>
      </c>
      <c r="J36" s="38">
        <v>28000</v>
      </c>
      <c r="K36" s="38">
        <v>0</v>
      </c>
      <c r="L36" s="38">
        <v>22000</v>
      </c>
      <c r="M36" s="38">
        <v>0</v>
      </c>
      <c r="N36" s="38">
        <v>87000</v>
      </c>
      <c r="O36" s="38">
        <v>0</v>
      </c>
      <c r="P36" s="38">
        <v>39000</v>
      </c>
      <c r="Q36" s="38">
        <v>0</v>
      </c>
      <c r="R36" s="38">
        <v>28000</v>
      </c>
      <c r="S36" s="38">
        <v>22000</v>
      </c>
      <c r="T36" s="38">
        <v>96000</v>
      </c>
      <c r="U36" s="38">
        <v>0</v>
      </c>
      <c r="V36" s="38">
        <v>22000</v>
      </c>
      <c r="W36" s="38">
        <v>22000</v>
      </c>
      <c r="X36" s="38">
        <v>22000</v>
      </c>
      <c r="Y36" s="38">
        <v>87000</v>
      </c>
      <c r="Z36" s="38">
        <v>137000</v>
      </c>
    </row>
    <row r="37" spans="1:26" x14ac:dyDescent="0.4">
      <c r="A37" s="1">
        <f t="shared" si="1"/>
        <v>2054</v>
      </c>
      <c r="B37" s="38">
        <v>22000</v>
      </c>
      <c r="C37" s="38">
        <v>28000</v>
      </c>
      <c r="D37" s="38">
        <v>0</v>
      </c>
      <c r="E37" s="38">
        <v>87000</v>
      </c>
      <c r="F37" s="38">
        <v>157000</v>
      </c>
      <c r="G37" s="38">
        <v>65000</v>
      </c>
      <c r="H37" s="38">
        <v>22000</v>
      </c>
      <c r="I37" s="38">
        <v>22000</v>
      </c>
      <c r="J37" s="38">
        <v>28000</v>
      </c>
      <c r="K37" s="38">
        <v>0</v>
      </c>
      <c r="L37" s="38">
        <v>22000</v>
      </c>
      <c r="M37" s="38">
        <v>0</v>
      </c>
      <c r="N37" s="38">
        <v>87000</v>
      </c>
      <c r="O37" s="38">
        <v>0</v>
      </c>
      <c r="P37" s="38">
        <v>0</v>
      </c>
      <c r="Q37" s="38">
        <v>0</v>
      </c>
      <c r="R37" s="38">
        <v>28000</v>
      </c>
      <c r="S37" s="38">
        <v>22000</v>
      </c>
      <c r="T37" s="38">
        <v>96000</v>
      </c>
      <c r="U37" s="38">
        <v>0</v>
      </c>
      <c r="V37" s="38">
        <v>22000</v>
      </c>
      <c r="W37" s="38">
        <v>22000</v>
      </c>
      <c r="X37" s="38">
        <v>22000</v>
      </c>
      <c r="Y37" s="38">
        <v>87000</v>
      </c>
      <c r="Z37" s="38">
        <v>72000</v>
      </c>
    </row>
    <row r="38" spans="1:26" x14ac:dyDescent="0.4">
      <c r="A38" s="1">
        <f t="shared" si="1"/>
        <v>2055</v>
      </c>
      <c r="B38" s="38">
        <v>22000</v>
      </c>
      <c r="C38" s="38">
        <v>28000</v>
      </c>
      <c r="D38" s="38">
        <v>0</v>
      </c>
      <c r="E38" s="38">
        <v>87000</v>
      </c>
      <c r="F38" s="38">
        <v>157000</v>
      </c>
      <c r="G38" s="38">
        <v>0</v>
      </c>
      <c r="H38" s="38">
        <v>0</v>
      </c>
      <c r="I38" s="38">
        <v>0</v>
      </c>
      <c r="J38" s="38">
        <v>0</v>
      </c>
      <c r="K38" s="38">
        <v>0</v>
      </c>
      <c r="L38" s="38">
        <v>22000</v>
      </c>
      <c r="M38" s="38">
        <v>0</v>
      </c>
      <c r="N38" s="38">
        <v>87000</v>
      </c>
      <c r="O38" s="38">
        <v>0</v>
      </c>
      <c r="P38" s="38">
        <v>0</v>
      </c>
      <c r="Q38" s="38">
        <v>0</v>
      </c>
      <c r="R38" s="38">
        <v>0</v>
      </c>
      <c r="S38" s="38">
        <v>22000</v>
      </c>
      <c r="T38" s="38">
        <v>0</v>
      </c>
      <c r="U38" s="38">
        <v>0</v>
      </c>
      <c r="V38" s="38">
        <v>22000</v>
      </c>
      <c r="W38" s="38">
        <v>22000</v>
      </c>
      <c r="X38" s="38">
        <v>0</v>
      </c>
      <c r="Y38" s="38">
        <v>87000</v>
      </c>
      <c r="Z38" s="38">
        <v>72000</v>
      </c>
    </row>
    <row r="39" spans="1:26" x14ac:dyDescent="0.4">
      <c r="A39" s="1">
        <f t="shared" si="1"/>
        <v>2056</v>
      </c>
      <c r="B39" s="38">
        <v>22000</v>
      </c>
      <c r="C39" s="38">
        <v>28000</v>
      </c>
      <c r="D39" s="38">
        <v>0</v>
      </c>
      <c r="E39" s="38">
        <v>87000</v>
      </c>
      <c r="F39" s="38">
        <v>157000</v>
      </c>
      <c r="G39" s="38">
        <v>0</v>
      </c>
      <c r="H39" s="38">
        <v>0</v>
      </c>
      <c r="I39" s="38">
        <v>0</v>
      </c>
      <c r="J39" s="38">
        <v>0</v>
      </c>
      <c r="K39" s="38">
        <v>0</v>
      </c>
      <c r="L39" s="38">
        <v>22000</v>
      </c>
      <c r="M39" s="38">
        <v>0</v>
      </c>
      <c r="N39" s="38">
        <v>0</v>
      </c>
      <c r="O39" s="38">
        <v>0</v>
      </c>
      <c r="P39" s="38">
        <v>0</v>
      </c>
      <c r="Q39" s="38">
        <v>0</v>
      </c>
      <c r="R39" s="38">
        <v>0</v>
      </c>
      <c r="S39" s="38">
        <v>22000</v>
      </c>
      <c r="T39" s="38">
        <v>0</v>
      </c>
      <c r="U39" s="38">
        <v>0</v>
      </c>
      <c r="V39" s="38">
        <v>0</v>
      </c>
      <c r="W39" s="38">
        <v>22000</v>
      </c>
      <c r="X39" s="38">
        <v>0</v>
      </c>
      <c r="Y39" s="38">
        <v>87000</v>
      </c>
      <c r="Z39" s="38">
        <v>50000</v>
      </c>
    </row>
    <row r="40" spans="1:26" x14ac:dyDescent="0.4">
      <c r="A40" s="1">
        <f t="shared" si="1"/>
        <v>2057</v>
      </c>
      <c r="B40" s="38">
        <v>22000</v>
      </c>
      <c r="C40" s="38">
        <v>0</v>
      </c>
      <c r="D40" s="38">
        <v>0</v>
      </c>
      <c r="E40" s="38">
        <v>87000</v>
      </c>
      <c r="F40" s="38">
        <v>61000</v>
      </c>
      <c r="G40" s="38">
        <v>0</v>
      </c>
      <c r="H40" s="38">
        <v>0</v>
      </c>
      <c r="I40" s="38">
        <v>0</v>
      </c>
      <c r="J40" s="38">
        <v>0</v>
      </c>
      <c r="K40" s="38">
        <v>0</v>
      </c>
      <c r="L40" s="38">
        <v>22000</v>
      </c>
      <c r="M40" s="38">
        <v>0</v>
      </c>
      <c r="N40" s="38">
        <v>0</v>
      </c>
      <c r="O40" s="38">
        <v>0</v>
      </c>
      <c r="P40" s="38">
        <v>0</v>
      </c>
      <c r="Q40" s="38">
        <v>0</v>
      </c>
      <c r="R40" s="38">
        <v>0</v>
      </c>
      <c r="S40" s="38">
        <v>22000</v>
      </c>
      <c r="T40" s="38">
        <v>0</v>
      </c>
      <c r="U40" s="38">
        <v>0</v>
      </c>
      <c r="V40" s="38">
        <v>0</v>
      </c>
      <c r="W40" s="38">
        <v>0</v>
      </c>
      <c r="X40" s="38">
        <v>0</v>
      </c>
      <c r="Y40" s="38">
        <v>22000</v>
      </c>
      <c r="Z40" s="38">
        <v>50000</v>
      </c>
    </row>
    <row r="41" spans="1:26" x14ac:dyDescent="0.4">
      <c r="A41" s="1">
        <f t="shared" si="1"/>
        <v>2058</v>
      </c>
      <c r="B41" s="38">
        <v>22000</v>
      </c>
      <c r="C41" s="38">
        <v>0</v>
      </c>
      <c r="D41" s="38">
        <v>0</v>
      </c>
      <c r="E41" s="38">
        <v>87000</v>
      </c>
      <c r="F41" s="38">
        <v>61000</v>
      </c>
      <c r="G41" s="38">
        <v>0</v>
      </c>
      <c r="H41" s="38">
        <v>0</v>
      </c>
      <c r="I41" s="38">
        <v>0</v>
      </c>
      <c r="J41" s="38">
        <v>0</v>
      </c>
      <c r="K41" s="38">
        <v>0</v>
      </c>
      <c r="L41" s="38">
        <v>22000</v>
      </c>
      <c r="M41" s="38">
        <v>0</v>
      </c>
      <c r="N41" s="38">
        <v>0</v>
      </c>
      <c r="O41" s="38">
        <v>0</v>
      </c>
      <c r="P41" s="38">
        <v>0</v>
      </c>
      <c r="Q41" s="38">
        <v>0</v>
      </c>
      <c r="R41" s="38">
        <v>0</v>
      </c>
      <c r="S41" s="38">
        <v>22000</v>
      </c>
      <c r="T41" s="38">
        <v>0</v>
      </c>
      <c r="U41" s="38">
        <v>0</v>
      </c>
      <c r="V41" s="38">
        <v>0</v>
      </c>
      <c r="W41" s="38">
        <v>0</v>
      </c>
      <c r="X41" s="38">
        <v>0</v>
      </c>
      <c r="Y41" s="38">
        <v>22000</v>
      </c>
      <c r="Z41" s="38">
        <v>0</v>
      </c>
    </row>
    <row r="42" spans="1:26" x14ac:dyDescent="0.4">
      <c r="A42" s="1">
        <f t="shared" si="1"/>
        <v>2059</v>
      </c>
      <c r="B42" s="38">
        <v>22000</v>
      </c>
      <c r="C42" s="38">
        <v>0</v>
      </c>
      <c r="D42" s="38">
        <v>0</v>
      </c>
      <c r="E42" s="38">
        <v>22000</v>
      </c>
      <c r="F42" s="38">
        <v>61000</v>
      </c>
      <c r="G42" s="38">
        <v>0</v>
      </c>
      <c r="H42" s="38">
        <v>0</v>
      </c>
      <c r="I42" s="38">
        <v>0</v>
      </c>
      <c r="J42" s="38">
        <v>0</v>
      </c>
      <c r="K42" s="38">
        <v>0</v>
      </c>
      <c r="L42" s="38">
        <v>22000</v>
      </c>
      <c r="M42" s="38">
        <v>0</v>
      </c>
      <c r="N42" s="38">
        <v>0</v>
      </c>
      <c r="O42" s="38">
        <v>0</v>
      </c>
      <c r="P42" s="38">
        <v>0</v>
      </c>
      <c r="Q42" s="38">
        <v>0</v>
      </c>
      <c r="R42" s="38">
        <v>0</v>
      </c>
      <c r="S42" s="38">
        <v>0</v>
      </c>
      <c r="T42" s="38">
        <v>0</v>
      </c>
      <c r="U42" s="38">
        <v>0</v>
      </c>
      <c r="V42" s="38">
        <v>0</v>
      </c>
      <c r="W42" s="38">
        <v>0</v>
      </c>
      <c r="X42" s="38">
        <v>0</v>
      </c>
      <c r="Y42" s="38">
        <v>0</v>
      </c>
      <c r="Z42" s="38">
        <v>0</v>
      </c>
    </row>
    <row r="43" spans="1:26" x14ac:dyDescent="0.4">
      <c r="A43" s="1">
        <f t="shared" si="1"/>
        <v>2060</v>
      </c>
      <c r="B43" s="38">
        <v>22000</v>
      </c>
      <c r="C43" s="38">
        <v>0</v>
      </c>
      <c r="D43" s="38">
        <v>0</v>
      </c>
      <c r="E43" s="38">
        <v>0</v>
      </c>
      <c r="F43" s="38">
        <v>61000</v>
      </c>
      <c r="G43" s="38">
        <v>0</v>
      </c>
      <c r="H43" s="38">
        <v>0</v>
      </c>
      <c r="I43" s="38">
        <v>0</v>
      </c>
      <c r="J43" s="38">
        <v>0</v>
      </c>
      <c r="K43" s="38">
        <v>0</v>
      </c>
      <c r="L43" s="38">
        <v>22000</v>
      </c>
      <c r="M43" s="38">
        <v>0</v>
      </c>
      <c r="N43" s="38">
        <v>0</v>
      </c>
      <c r="O43" s="38">
        <v>0</v>
      </c>
      <c r="P43" s="38">
        <v>0</v>
      </c>
      <c r="Q43" s="38">
        <v>0</v>
      </c>
      <c r="R43" s="38">
        <v>0</v>
      </c>
      <c r="S43" s="38">
        <v>0</v>
      </c>
      <c r="T43" s="38">
        <v>0</v>
      </c>
      <c r="U43" s="38">
        <v>0</v>
      </c>
      <c r="V43" s="38">
        <v>0</v>
      </c>
      <c r="W43" s="38">
        <v>0</v>
      </c>
      <c r="X43" s="38">
        <v>0</v>
      </c>
      <c r="Y43" s="38">
        <v>0</v>
      </c>
      <c r="Z43" s="38">
        <v>0</v>
      </c>
    </row>
    <row r="44" spans="1:26" x14ac:dyDescent="0.4">
      <c r="A44" s="1">
        <f t="shared" si="1"/>
        <v>2061</v>
      </c>
      <c r="B44" s="38">
        <v>22000</v>
      </c>
      <c r="C44" s="38">
        <v>0</v>
      </c>
      <c r="D44" s="38">
        <v>0</v>
      </c>
      <c r="E44" s="38">
        <v>0</v>
      </c>
      <c r="F44" s="38">
        <v>22000</v>
      </c>
      <c r="G44" s="38">
        <v>0</v>
      </c>
      <c r="H44" s="38">
        <v>0</v>
      </c>
      <c r="I44" s="38">
        <v>0</v>
      </c>
      <c r="J44" s="38">
        <v>0</v>
      </c>
      <c r="K44" s="38">
        <v>0</v>
      </c>
      <c r="L44" s="38">
        <v>0</v>
      </c>
      <c r="M44" s="38">
        <v>0</v>
      </c>
      <c r="N44" s="38">
        <v>0</v>
      </c>
      <c r="O44" s="38">
        <v>0</v>
      </c>
      <c r="P44" s="38">
        <v>0</v>
      </c>
      <c r="Q44" s="38">
        <v>0</v>
      </c>
      <c r="R44" s="38">
        <v>0</v>
      </c>
      <c r="S44" s="38">
        <v>0</v>
      </c>
      <c r="T44" s="38">
        <v>0</v>
      </c>
      <c r="U44" s="38">
        <v>0</v>
      </c>
      <c r="V44" s="38">
        <v>0</v>
      </c>
      <c r="W44" s="38">
        <v>0</v>
      </c>
      <c r="X44" s="38">
        <v>0</v>
      </c>
      <c r="Y44" s="38">
        <v>0</v>
      </c>
      <c r="Z44" s="38">
        <v>0</v>
      </c>
    </row>
    <row r="45" spans="1:26" x14ac:dyDescent="0.4">
      <c r="A45" s="1">
        <f t="shared" si="1"/>
        <v>2062</v>
      </c>
      <c r="B45" s="38">
        <v>22000</v>
      </c>
      <c r="C45" s="38">
        <v>0</v>
      </c>
      <c r="D45" s="38">
        <v>0</v>
      </c>
      <c r="E45" s="38">
        <v>0</v>
      </c>
      <c r="F45" s="38">
        <v>22000</v>
      </c>
      <c r="G45" s="38">
        <v>0</v>
      </c>
      <c r="H45" s="38">
        <v>0</v>
      </c>
      <c r="I45" s="38">
        <v>0</v>
      </c>
      <c r="J45" s="38">
        <v>0</v>
      </c>
      <c r="K45" s="38">
        <v>0</v>
      </c>
      <c r="L45" s="38">
        <v>0</v>
      </c>
      <c r="M45" s="38">
        <v>0</v>
      </c>
      <c r="N45" s="38">
        <v>0</v>
      </c>
      <c r="O45" s="38">
        <v>0</v>
      </c>
      <c r="P45" s="38">
        <v>0</v>
      </c>
      <c r="Q45" s="38">
        <v>0</v>
      </c>
      <c r="R45" s="38">
        <v>0</v>
      </c>
      <c r="S45" s="38">
        <v>0</v>
      </c>
      <c r="T45" s="38">
        <v>0</v>
      </c>
      <c r="U45" s="38">
        <v>0</v>
      </c>
      <c r="V45" s="38">
        <v>0</v>
      </c>
      <c r="W45" s="38">
        <v>0</v>
      </c>
      <c r="X45" s="38">
        <v>0</v>
      </c>
      <c r="Y45" s="38">
        <v>0</v>
      </c>
      <c r="Z45" s="38">
        <v>0</v>
      </c>
    </row>
    <row r="46" spans="1:26" x14ac:dyDescent="0.4">
      <c r="A46" s="1">
        <f t="shared" si="1"/>
        <v>2063</v>
      </c>
      <c r="B46" s="38">
        <v>0</v>
      </c>
      <c r="C46" s="38">
        <v>0</v>
      </c>
      <c r="D46" s="38">
        <v>0</v>
      </c>
      <c r="E46" s="38">
        <v>0</v>
      </c>
      <c r="F46" s="38">
        <v>0</v>
      </c>
      <c r="G46" s="38">
        <v>0</v>
      </c>
      <c r="H46" s="38">
        <v>0</v>
      </c>
      <c r="I46" s="38">
        <v>0</v>
      </c>
      <c r="J46" s="38">
        <v>0</v>
      </c>
      <c r="K46" s="38">
        <v>0</v>
      </c>
      <c r="L46" s="38">
        <v>0</v>
      </c>
      <c r="M46" s="38">
        <v>0</v>
      </c>
      <c r="N46" s="38">
        <v>0</v>
      </c>
      <c r="O46" s="38">
        <v>0</v>
      </c>
      <c r="P46" s="38">
        <v>0</v>
      </c>
      <c r="Q46" s="38">
        <v>0</v>
      </c>
      <c r="R46" s="38">
        <v>0</v>
      </c>
      <c r="S46" s="38">
        <v>0</v>
      </c>
      <c r="T46" s="38">
        <v>0</v>
      </c>
      <c r="U46" s="38">
        <v>0</v>
      </c>
      <c r="V46" s="38">
        <v>0</v>
      </c>
      <c r="W46" s="38">
        <v>0</v>
      </c>
      <c r="X46" s="38">
        <v>0</v>
      </c>
      <c r="Y46" s="38">
        <v>0</v>
      </c>
      <c r="Z46" s="38">
        <v>0</v>
      </c>
    </row>
    <row r="47" spans="1:26" x14ac:dyDescent="0.4">
      <c r="A47" s="1">
        <f t="shared" si="1"/>
        <v>2064</v>
      </c>
      <c r="B47" s="38">
        <v>0</v>
      </c>
      <c r="C47" s="38">
        <v>0</v>
      </c>
      <c r="D47" s="38">
        <v>0</v>
      </c>
      <c r="E47" s="38">
        <v>0</v>
      </c>
      <c r="F47" s="38">
        <v>0</v>
      </c>
      <c r="G47" s="38">
        <v>0</v>
      </c>
      <c r="H47" s="38">
        <v>0</v>
      </c>
      <c r="I47" s="38">
        <v>0</v>
      </c>
      <c r="J47" s="38">
        <v>0</v>
      </c>
      <c r="K47" s="38">
        <v>0</v>
      </c>
      <c r="L47" s="38">
        <v>0</v>
      </c>
      <c r="M47" s="38">
        <v>0</v>
      </c>
      <c r="N47" s="38">
        <v>0</v>
      </c>
      <c r="O47" s="38">
        <v>0</v>
      </c>
      <c r="P47" s="38">
        <v>0</v>
      </c>
      <c r="Q47" s="38">
        <v>0</v>
      </c>
      <c r="R47" s="38">
        <v>0</v>
      </c>
      <c r="S47" s="38">
        <v>0</v>
      </c>
      <c r="T47" s="38">
        <v>0</v>
      </c>
      <c r="U47" s="38">
        <v>0</v>
      </c>
      <c r="V47" s="38">
        <v>0</v>
      </c>
      <c r="W47" s="38">
        <v>0</v>
      </c>
      <c r="X47" s="38">
        <v>0</v>
      </c>
      <c r="Y47" s="38">
        <v>0</v>
      </c>
      <c r="Z47" s="38">
        <v>0</v>
      </c>
    </row>
    <row r="48" spans="1:26" x14ac:dyDescent="0.4">
      <c r="A48" s="1">
        <f t="shared" si="1"/>
        <v>2065</v>
      </c>
      <c r="B48" s="38">
        <v>0</v>
      </c>
      <c r="C48" s="38">
        <v>0</v>
      </c>
      <c r="D48" s="38">
        <v>0</v>
      </c>
      <c r="E48" s="38">
        <v>0</v>
      </c>
      <c r="F48" s="38">
        <v>0</v>
      </c>
      <c r="G48" s="38">
        <v>0</v>
      </c>
      <c r="H48" s="38">
        <v>0</v>
      </c>
      <c r="I48" s="38">
        <v>0</v>
      </c>
      <c r="J48" s="38">
        <v>0</v>
      </c>
      <c r="K48" s="38">
        <v>0</v>
      </c>
      <c r="L48" s="38">
        <v>0</v>
      </c>
      <c r="M48" s="38">
        <v>0</v>
      </c>
      <c r="N48" s="38">
        <v>0</v>
      </c>
      <c r="O48" s="38">
        <v>0</v>
      </c>
      <c r="P48" s="38">
        <v>0</v>
      </c>
      <c r="Q48" s="38">
        <v>0</v>
      </c>
      <c r="R48" s="38">
        <v>0</v>
      </c>
      <c r="S48" s="38">
        <v>0</v>
      </c>
      <c r="T48" s="38">
        <v>0</v>
      </c>
      <c r="U48" s="38">
        <v>0</v>
      </c>
      <c r="V48" s="38">
        <v>0</v>
      </c>
      <c r="W48" s="38">
        <v>0</v>
      </c>
      <c r="X48" s="38">
        <v>0</v>
      </c>
      <c r="Y48" s="38">
        <v>0</v>
      </c>
      <c r="Z48" s="38">
        <v>0</v>
      </c>
    </row>
    <row r="49" spans="1:26" x14ac:dyDescent="0.4">
      <c r="A49" s="1">
        <f t="shared" si="1"/>
        <v>2066</v>
      </c>
      <c r="B49" s="38">
        <v>0</v>
      </c>
      <c r="C49" s="38">
        <v>0</v>
      </c>
      <c r="D49" s="38">
        <v>0</v>
      </c>
      <c r="E49" s="38">
        <v>0</v>
      </c>
      <c r="F49" s="38">
        <v>0</v>
      </c>
      <c r="G49" s="38">
        <v>0</v>
      </c>
      <c r="H49" s="38">
        <v>0</v>
      </c>
      <c r="I49" s="38">
        <v>0</v>
      </c>
      <c r="J49" s="38">
        <v>0</v>
      </c>
      <c r="K49" s="38">
        <v>0</v>
      </c>
      <c r="L49" s="38">
        <v>0</v>
      </c>
      <c r="M49" s="38">
        <v>0</v>
      </c>
      <c r="N49" s="38">
        <v>0</v>
      </c>
      <c r="O49" s="38">
        <v>0</v>
      </c>
      <c r="P49" s="38">
        <v>0</v>
      </c>
      <c r="Q49" s="38">
        <v>0</v>
      </c>
      <c r="R49" s="38">
        <v>0</v>
      </c>
      <c r="S49" s="38">
        <v>0</v>
      </c>
      <c r="T49" s="38">
        <v>0</v>
      </c>
      <c r="U49" s="38">
        <v>0</v>
      </c>
      <c r="V49" s="38">
        <v>0</v>
      </c>
      <c r="W49" s="38">
        <v>0</v>
      </c>
      <c r="X49" s="38">
        <v>0</v>
      </c>
      <c r="Y49" s="38">
        <v>0</v>
      </c>
      <c r="Z49" s="38">
        <v>0</v>
      </c>
    </row>
    <row r="50" spans="1:26" x14ac:dyDescent="0.4">
      <c r="A50" s="1">
        <f t="shared" si="1"/>
        <v>2067</v>
      </c>
      <c r="B50" s="38">
        <v>0</v>
      </c>
      <c r="C50" s="38">
        <v>0</v>
      </c>
      <c r="D50" s="38">
        <v>0</v>
      </c>
      <c r="E50" s="38">
        <v>0</v>
      </c>
      <c r="F50" s="38">
        <v>0</v>
      </c>
      <c r="G50" s="38">
        <v>0</v>
      </c>
      <c r="H50" s="38">
        <v>0</v>
      </c>
      <c r="I50" s="38">
        <v>0</v>
      </c>
      <c r="J50" s="38">
        <v>0</v>
      </c>
      <c r="K50" s="38">
        <v>0</v>
      </c>
      <c r="L50" s="38">
        <v>0</v>
      </c>
      <c r="M50" s="38">
        <v>0</v>
      </c>
      <c r="N50" s="38">
        <v>0</v>
      </c>
      <c r="O50" s="38">
        <v>0</v>
      </c>
      <c r="P50" s="38">
        <v>0</v>
      </c>
      <c r="Q50" s="38">
        <v>0</v>
      </c>
      <c r="R50" s="38">
        <v>0</v>
      </c>
      <c r="S50" s="38">
        <v>0</v>
      </c>
      <c r="T50" s="38">
        <v>0</v>
      </c>
      <c r="U50" s="38">
        <v>0</v>
      </c>
      <c r="V50" s="38">
        <v>0</v>
      </c>
      <c r="W50" s="38">
        <v>0</v>
      </c>
      <c r="X50" s="38">
        <v>0</v>
      </c>
      <c r="Y50" s="38">
        <v>0</v>
      </c>
      <c r="Z50" s="38">
        <v>0</v>
      </c>
    </row>
    <row r="51" spans="1:26" x14ac:dyDescent="0.4">
      <c r="A51" s="1">
        <f t="shared" si="1"/>
        <v>2068</v>
      </c>
      <c r="B51" s="38">
        <v>0</v>
      </c>
      <c r="C51" s="38">
        <v>0</v>
      </c>
      <c r="D51" s="38">
        <v>0</v>
      </c>
      <c r="E51" s="38">
        <v>0</v>
      </c>
      <c r="F51" s="38">
        <v>0</v>
      </c>
      <c r="G51" s="38">
        <v>0</v>
      </c>
      <c r="H51" s="38">
        <v>0</v>
      </c>
      <c r="I51" s="38">
        <v>0</v>
      </c>
      <c r="J51" s="38">
        <v>0</v>
      </c>
      <c r="K51" s="38">
        <v>0</v>
      </c>
      <c r="L51" s="38">
        <v>0</v>
      </c>
      <c r="M51" s="38">
        <v>0</v>
      </c>
      <c r="N51" s="38">
        <v>0</v>
      </c>
      <c r="O51" s="38">
        <v>0</v>
      </c>
      <c r="P51" s="38">
        <v>0</v>
      </c>
      <c r="Q51" s="38">
        <v>0</v>
      </c>
      <c r="R51" s="38">
        <v>0</v>
      </c>
      <c r="S51" s="38">
        <v>0</v>
      </c>
      <c r="T51" s="38">
        <v>0</v>
      </c>
      <c r="U51" s="38">
        <v>0</v>
      </c>
      <c r="V51" s="38">
        <v>0</v>
      </c>
      <c r="W51" s="38">
        <v>0</v>
      </c>
      <c r="X51" s="38">
        <v>0</v>
      </c>
      <c r="Y51" s="38">
        <v>0</v>
      </c>
      <c r="Z51" s="38">
        <v>0</v>
      </c>
    </row>
    <row r="52" spans="1:26" x14ac:dyDescent="0.4">
      <c r="A52" s="1">
        <f t="shared" si="1"/>
        <v>2069</v>
      </c>
      <c r="B52" s="38">
        <v>0</v>
      </c>
      <c r="C52" s="38">
        <v>0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</row>
    <row r="53" spans="1:26" x14ac:dyDescent="0.4">
      <c r="A53" s="1">
        <f t="shared" si="1"/>
        <v>2070</v>
      </c>
      <c r="B53" s="38">
        <v>0</v>
      </c>
      <c r="C53" s="38">
        <v>0</v>
      </c>
      <c r="D53" s="38">
        <v>0</v>
      </c>
      <c r="E53" s="38">
        <v>0</v>
      </c>
      <c r="F53" s="38">
        <v>0</v>
      </c>
      <c r="G53" s="38">
        <v>0</v>
      </c>
      <c r="H53" s="38">
        <v>0</v>
      </c>
      <c r="I53" s="38">
        <v>0</v>
      </c>
      <c r="J53" s="38">
        <v>0</v>
      </c>
      <c r="K53" s="38">
        <v>0</v>
      </c>
      <c r="L53" s="38">
        <v>0</v>
      </c>
      <c r="M53" s="38">
        <v>0</v>
      </c>
      <c r="N53" s="38">
        <v>0</v>
      </c>
      <c r="O53" s="38">
        <v>0</v>
      </c>
      <c r="P53" s="38">
        <v>0</v>
      </c>
      <c r="Q53" s="38">
        <v>0</v>
      </c>
      <c r="R53" s="38">
        <v>0</v>
      </c>
      <c r="S53" s="38">
        <v>0</v>
      </c>
      <c r="T53" s="38">
        <v>0</v>
      </c>
      <c r="U53" s="38">
        <v>0</v>
      </c>
      <c r="V53" s="38">
        <v>0</v>
      </c>
      <c r="W53" s="38">
        <v>0</v>
      </c>
      <c r="X53" s="38">
        <v>0</v>
      </c>
      <c r="Y53" s="38">
        <v>0</v>
      </c>
      <c r="Z53" s="38">
        <v>0</v>
      </c>
    </row>
    <row r="54" spans="1:26" x14ac:dyDescent="0.4">
      <c r="A54" s="1">
        <f t="shared" si="1"/>
        <v>2071</v>
      </c>
      <c r="B54" s="38">
        <v>0</v>
      </c>
      <c r="C54" s="38">
        <v>0</v>
      </c>
      <c r="D54" s="38">
        <v>0</v>
      </c>
      <c r="E54" s="38">
        <v>0</v>
      </c>
      <c r="F54" s="38">
        <v>0</v>
      </c>
      <c r="G54" s="38">
        <v>0</v>
      </c>
      <c r="H54" s="38">
        <v>0</v>
      </c>
      <c r="I54" s="38">
        <v>0</v>
      </c>
      <c r="J54" s="38">
        <v>0</v>
      </c>
      <c r="K54" s="38">
        <v>0</v>
      </c>
      <c r="L54" s="38">
        <v>0</v>
      </c>
      <c r="M54" s="38">
        <v>0</v>
      </c>
      <c r="N54" s="38">
        <v>0</v>
      </c>
      <c r="O54" s="38">
        <v>0</v>
      </c>
      <c r="P54" s="38">
        <v>0</v>
      </c>
      <c r="Q54" s="38">
        <v>0</v>
      </c>
      <c r="R54" s="38">
        <v>0</v>
      </c>
      <c r="S54" s="38">
        <v>0</v>
      </c>
      <c r="T54" s="38">
        <v>0</v>
      </c>
      <c r="U54" s="38">
        <v>0</v>
      </c>
      <c r="V54" s="38">
        <v>0</v>
      </c>
      <c r="W54" s="38">
        <v>0</v>
      </c>
      <c r="X54" s="38">
        <v>0</v>
      </c>
      <c r="Y54" s="38">
        <v>0</v>
      </c>
      <c r="Z54" s="38">
        <v>0</v>
      </c>
    </row>
    <row r="55" spans="1:26" x14ac:dyDescent="0.4">
      <c r="A55" s="1">
        <f t="shared" si="1"/>
        <v>2072</v>
      </c>
      <c r="B55" s="38">
        <v>0</v>
      </c>
      <c r="C55" s="38">
        <v>0</v>
      </c>
      <c r="D55" s="38">
        <v>0</v>
      </c>
      <c r="E55" s="38">
        <v>0</v>
      </c>
      <c r="F55" s="38">
        <v>0</v>
      </c>
      <c r="G55" s="38">
        <v>0</v>
      </c>
      <c r="H55" s="38">
        <v>0</v>
      </c>
      <c r="I55" s="38">
        <v>0</v>
      </c>
      <c r="J55" s="38">
        <v>0</v>
      </c>
      <c r="K55" s="38">
        <v>0</v>
      </c>
      <c r="L55" s="38">
        <v>0</v>
      </c>
      <c r="M55" s="38">
        <v>0</v>
      </c>
      <c r="N55" s="38">
        <v>0</v>
      </c>
      <c r="O55" s="38">
        <v>0</v>
      </c>
      <c r="P55" s="38">
        <v>0</v>
      </c>
      <c r="Q55" s="38">
        <v>0</v>
      </c>
      <c r="R55" s="38">
        <v>0</v>
      </c>
      <c r="S55" s="38">
        <v>0</v>
      </c>
      <c r="T55" s="38">
        <v>0</v>
      </c>
      <c r="U55" s="38">
        <v>0</v>
      </c>
      <c r="V55" s="38">
        <v>0</v>
      </c>
      <c r="W55" s="38">
        <v>0</v>
      </c>
      <c r="X55" s="38">
        <v>0</v>
      </c>
      <c r="Y55" s="38">
        <v>0</v>
      </c>
      <c r="Z55" s="38">
        <v>0</v>
      </c>
    </row>
    <row r="56" spans="1:26" x14ac:dyDescent="0.4">
      <c r="A56" s="1">
        <f t="shared" si="1"/>
        <v>2073</v>
      </c>
      <c r="B56" s="38">
        <v>0</v>
      </c>
      <c r="C56" s="38">
        <v>0</v>
      </c>
      <c r="D56" s="38">
        <v>0</v>
      </c>
      <c r="E56" s="38">
        <v>0</v>
      </c>
      <c r="F56" s="38">
        <v>0</v>
      </c>
      <c r="G56" s="38">
        <v>0</v>
      </c>
      <c r="H56" s="38">
        <v>0</v>
      </c>
      <c r="I56" s="38">
        <v>0</v>
      </c>
      <c r="J56" s="38">
        <v>0</v>
      </c>
      <c r="K56" s="38">
        <v>0</v>
      </c>
      <c r="L56" s="38">
        <v>0</v>
      </c>
      <c r="M56" s="38">
        <v>0</v>
      </c>
      <c r="N56" s="38">
        <v>0</v>
      </c>
      <c r="O56" s="38">
        <v>0</v>
      </c>
      <c r="P56" s="38">
        <v>0</v>
      </c>
      <c r="Q56" s="38">
        <v>0</v>
      </c>
      <c r="R56" s="38">
        <v>0</v>
      </c>
      <c r="S56" s="38">
        <v>0</v>
      </c>
      <c r="T56" s="38">
        <v>0</v>
      </c>
      <c r="U56" s="38">
        <v>0</v>
      </c>
      <c r="V56" s="38">
        <v>0</v>
      </c>
      <c r="W56" s="38">
        <v>0</v>
      </c>
      <c r="X56" s="38">
        <v>0</v>
      </c>
      <c r="Y56" s="38">
        <v>0</v>
      </c>
      <c r="Z56" s="38">
        <v>0</v>
      </c>
    </row>
    <row r="57" spans="1:26" x14ac:dyDescent="0.4">
      <c r="A57" s="1">
        <f t="shared" si="1"/>
        <v>2074</v>
      </c>
      <c r="B57" s="38">
        <v>0</v>
      </c>
      <c r="C57" s="38">
        <v>0</v>
      </c>
      <c r="D57" s="38">
        <v>0</v>
      </c>
      <c r="E57" s="38">
        <v>0</v>
      </c>
      <c r="F57" s="38">
        <v>0</v>
      </c>
      <c r="G57" s="38">
        <v>0</v>
      </c>
      <c r="H57" s="38">
        <v>0</v>
      </c>
      <c r="I57" s="38">
        <v>0</v>
      </c>
      <c r="J57" s="38">
        <v>0</v>
      </c>
      <c r="K57" s="38">
        <v>0</v>
      </c>
      <c r="L57" s="38">
        <v>0</v>
      </c>
      <c r="M57" s="38">
        <v>0</v>
      </c>
      <c r="N57" s="38">
        <v>0</v>
      </c>
      <c r="O57" s="38">
        <v>0</v>
      </c>
      <c r="P57" s="38">
        <v>0</v>
      </c>
      <c r="Q57" s="38">
        <v>0</v>
      </c>
      <c r="R57" s="38">
        <v>0</v>
      </c>
      <c r="S57" s="38">
        <v>0</v>
      </c>
      <c r="T57" s="38">
        <v>0</v>
      </c>
      <c r="U57" s="38">
        <v>0</v>
      </c>
      <c r="V57" s="38">
        <v>0</v>
      </c>
      <c r="W57" s="38">
        <v>0</v>
      </c>
      <c r="X57" s="38">
        <v>0</v>
      </c>
      <c r="Y57" s="38">
        <v>0</v>
      </c>
      <c r="Z57" s="38">
        <v>0</v>
      </c>
    </row>
    <row r="58" spans="1:26" x14ac:dyDescent="0.4">
      <c r="A58" s="1">
        <f t="shared" si="1"/>
        <v>2075</v>
      </c>
      <c r="B58" s="38">
        <v>0</v>
      </c>
      <c r="C58" s="38">
        <v>0</v>
      </c>
      <c r="D58" s="38">
        <v>0</v>
      </c>
      <c r="E58" s="38">
        <v>0</v>
      </c>
      <c r="F58" s="38">
        <v>0</v>
      </c>
      <c r="G58" s="38">
        <v>0</v>
      </c>
      <c r="H58" s="38">
        <v>0</v>
      </c>
      <c r="I58" s="38">
        <v>0</v>
      </c>
      <c r="J58" s="38">
        <v>0</v>
      </c>
      <c r="K58" s="38">
        <v>0</v>
      </c>
      <c r="L58" s="38">
        <v>0</v>
      </c>
      <c r="M58" s="38">
        <v>0</v>
      </c>
      <c r="N58" s="38">
        <v>0</v>
      </c>
      <c r="O58" s="38">
        <v>0</v>
      </c>
      <c r="P58" s="38">
        <v>0</v>
      </c>
      <c r="Q58" s="38">
        <v>0</v>
      </c>
      <c r="R58" s="38">
        <v>0</v>
      </c>
      <c r="S58" s="38">
        <v>0</v>
      </c>
      <c r="T58" s="38">
        <v>0</v>
      </c>
      <c r="U58" s="38">
        <v>0</v>
      </c>
      <c r="V58" s="38">
        <v>0</v>
      </c>
      <c r="W58" s="38">
        <v>0</v>
      </c>
      <c r="X58" s="38">
        <v>0</v>
      </c>
      <c r="Y58" s="38">
        <v>0</v>
      </c>
      <c r="Z58" s="38">
        <v>0</v>
      </c>
    </row>
    <row r="59" spans="1:26" x14ac:dyDescent="0.4">
      <c r="A59" s="1">
        <f t="shared" si="1"/>
        <v>2076</v>
      </c>
      <c r="B59" s="38">
        <v>0</v>
      </c>
      <c r="C59" s="38">
        <v>0</v>
      </c>
      <c r="D59" s="38">
        <v>0</v>
      </c>
      <c r="E59" s="38">
        <v>0</v>
      </c>
      <c r="F59" s="38">
        <v>0</v>
      </c>
      <c r="G59" s="38">
        <v>0</v>
      </c>
      <c r="H59" s="38">
        <v>0</v>
      </c>
      <c r="I59" s="38">
        <v>0</v>
      </c>
      <c r="J59" s="38">
        <v>0</v>
      </c>
      <c r="K59" s="38">
        <v>0</v>
      </c>
      <c r="L59" s="38">
        <v>0</v>
      </c>
      <c r="M59" s="38">
        <v>0</v>
      </c>
      <c r="N59" s="38">
        <v>0</v>
      </c>
      <c r="O59" s="38">
        <v>0</v>
      </c>
      <c r="P59" s="38">
        <v>0</v>
      </c>
      <c r="Q59" s="38">
        <v>0</v>
      </c>
      <c r="R59" s="38">
        <v>0</v>
      </c>
      <c r="S59" s="38">
        <v>0</v>
      </c>
      <c r="T59" s="38">
        <v>0</v>
      </c>
      <c r="U59" s="38">
        <v>0</v>
      </c>
      <c r="V59" s="38">
        <v>0</v>
      </c>
      <c r="W59" s="38">
        <v>0</v>
      </c>
      <c r="X59" s="38">
        <v>0</v>
      </c>
      <c r="Y59" s="38">
        <v>0</v>
      </c>
      <c r="Z59" s="38">
        <v>0</v>
      </c>
    </row>
    <row r="60" spans="1:26" x14ac:dyDescent="0.4">
      <c r="A60" s="1">
        <f>A59+1</f>
        <v>2077</v>
      </c>
      <c r="B60" s="38">
        <v>0</v>
      </c>
      <c r="C60" s="38">
        <v>0</v>
      </c>
      <c r="D60" s="38">
        <v>0</v>
      </c>
      <c r="E60" s="38">
        <v>0</v>
      </c>
      <c r="F60" s="38">
        <v>0</v>
      </c>
      <c r="G60" s="38">
        <v>0</v>
      </c>
      <c r="H60" s="38">
        <v>0</v>
      </c>
      <c r="I60" s="38">
        <v>0</v>
      </c>
      <c r="J60" s="38">
        <v>0</v>
      </c>
      <c r="K60" s="38">
        <v>0</v>
      </c>
      <c r="L60" s="38">
        <v>0</v>
      </c>
      <c r="M60" s="38">
        <v>0</v>
      </c>
      <c r="N60" s="38">
        <v>0</v>
      </c>
      <c r="O60" s="38">
        <v>0</v>
      </c>
      <c r="P60" s="38">
        <v>0</v>
      </c>
      <c r="Q60" s="38">
        <v>0</v>
      </c>
      <c r="R60" s="38">
        <v>0</v>
      </c>
      <c r="S60" s="38">
        <v>0</v>
      </c>
      <c r="T60" s="38">
        <v>0</v>
      </c>
      <c r="U60" s="38">
        <v>0</v>
      </c>
      <c r="V60" s="38">
        <v>0</v>
      </c>
      <c r="W60" s="38">
        <v>0</v>
      </c>
      <c r="X60" s="38">
        <v>0</v>
      </c>
      <c r="Y60" s="38">
        <v>0</v>
      </c>
      <c r="Z60" s="38">
        <v>0</v>
      </c>
    </row>
    <row r="61" spans="1:26" x14ac:dyDescent="0.4">
      <c r="A61" s="1">
        <f t="shared" si="1"/>
        <v>2078</v>
      </c>
      <c r="B61" s="38">
        <v>0</v>
      </c>
      <c r="C61" s="38">
        <v>0</v>
      </c>
      <c r="D61" s="38">
        <v>0</v>
      </c>
      <c r="E61" s="38">
        <v>0</v>
      </c>
      <c r="F61" s="38">
        <v>0</v>
      </c>
      <c r="G61" s="38">
        <v>0</v>
      </c>
      <c r="H61" s="38">
        <v>0</v>
      </c>
      <c r="I61" s="38">
        <v>0</v>
      </c>
      <c r="J61" s="38">
        <v>0</v>
      </c>
      <c r="K61" s="38">
        <v>0</v>
      </c>
      <c r="L61" s="38">
        <v>0</v>
      </c>
      <c r="M61" s="38">
        <v>0</v>
      </c>
      <c r="N61" s="38">
        <v>0</v>
      </c>
      <c r="O61" s="38">
        <v>0</v>
      </c>
      <c r="P61" s="38">
        <v>0</v>
      </c>
      <c r="Q61" s="38">
        <v>0</v>
      </c>
      <c r="R61" s="38">
        <v>0</v>
      </c>
      <c r="S61" s="38">
        <v>0</v>
      </c>
      <c r="T61" s="38">
        <v>0</v>
      </c>
      <c r="U61" s="38">
        <v>0</v>
      </c>
      <c r="V61" s="38">
        <v>0</v>
      </c>
      <c r="W61" s="38">
        <v>0</v>
      </c>
      <c r="X61" s="38">
        <v>0</v>
      </c>
      <c r="Y61" s="38">
        <v>0</v>
      </c>
      <c r="Z61" s="38">
        <v>0</v>
      </c>
    </row>
    <row r="62" spans="1:26" x14ac:dyDescent="0.4">
      <c r="A62" s="1">
        <f t="shared" si="1"/>
        <v>2079</v>
      </c>
      <c r="B62" s="38">
        <v>0</v>
      </c>
      <c r="C62" s="38">
        <v>0</v>
      </c>
      <c r="D62" s="38">
        <v>0</v>
      </c>
      <c r="E62" s="38">
        <v>0</v>
      </c>
      <c r="F62" s="38">
        <v>0</v>
      </c>
      <c r="G62" s="38">
        <v>0</v>
      </c>
      <c r="H62" s="38">
        <v>0</v>
      </c>
      <c r="I62" s="38">
        <v>0</v>
      </c>
      <c r="J62" s="38">
        <v>0</v>
      </c>
      <c r="K62" s="38">
        <v>0</v>
      </c>
      <c r="L62" s="38">
        <v>0</v>
      </c>
      <c r="M62" s="38">
        <v>0</v>
      </c>
      <c r="N62" s="38">
        <v>0</v>
      </c>
      <c r="O62" s="38">
        <v>0</v>
      </c>
      <c r="P62" s="38">
        <v>0</v>
      </c>
      <c r="Q62" s="38">
        <v>0</v>
      </c>
      <c r="R62" s="38">
        <v>0</v>
      </c>
      <c r="S62" s="38">
        <v>0</v>
      </c>
      <c r="T62" s="38">
        <v>0</v>
      </c>
      <c r="U62" s="38">
        <v>0</v>
      </c>
      <c r="V62" s="38">
        <v>0</v>
      </c>
      <c r="W62" s="38">
        <v>0</v>
      </c>
      <c r="X62" s="38">
        <v>0</v>
      </c>
      <c r="Y62" s="38">
        <v>0</v>
      </c>
      <c r="Z62" s="38">
        <v>0</v>
      </c>
    </row>
    <row r="63" spans="1:26" x14ac:dyDescent="0.4">
      <c r="A63" s="1">
        <f t="shared" si="1"/>
        <v>2080</v>
      </c>
      <c r="B63" s="38">
        <v>0</v>
      </c>
      <c r="C63" s="38">
        <v>0</v>
      </c>
      <c r="D63" s="38">
        <v>0</v>
      </c>
      <c r="E63" s="38">
        <v>0</v>
      </c>
      <c r="F63" s="38">
        <v>0</v>
      </c>
      <c r="G63" s="38">
        <v>0</v>
      </c>
      <c r="H63" s="38">
        <v>0</v>
      </c>
      <c r="I63" s="38">
        <v>0</v>
      </c>
      <c r="J63" s="38">
        <v>0</v>
      </c>
      <c r="K63" s="38">
        <v>0</v>
      </c>
      <c r="L63" s="38">
        <v>0</v>
      </c>
      <c r="M63" s="38">
        <v>0</v>
      </c>
      <c r="N63" s="38">
        <v>0</v>
      </c>
      <c r="O63" s="38">
        <v>0</v>
      </c>
      <c r="P63" s="38">
        <v>0</v>
      </c>
      <c r="Q63" s="38">
        <v>0</v>
      </c>
      <c r="R63" s="38">
        <v>0</v>
      </c>
      <c r="S63" s="38">
        <v>0</v>
      </c>
      <c r="T63" s="38">
        <v>0</v>
      </c>
      <c r="U63" s="38">
        <v>0</v>
      </c>
      <c r="V63" s="38">
        <v>0</v>
      </c>
      <c r="W63" s="38">
        <v>0</v>
      </c>
      <c r="X63" s="38">
        <v>0</v>
      </c>
      <c r="Y63" s="38">
        <v>0</v>
      </c>
      <c r="Z63" s="38">
        <v>0</v>
      </c>
    </row>
    <row r="64" spans="1:26" x14ac:dyDescent="0.4">
      <c r="A64" s="1">
        <f t="shared" si="1"/>
        <v>2081</v>
      </c>
      <c r="B64" s="38">
        <v>0</v>
      </c>
      <c r="C64" s="38">
        <v>0</v>
      </c>
      <c r="D64" s="38">
        <v>0</v>
      </c>
      <c r="E64" s="38">
        <v>0</v>
      </c>
      <c r="F64" s="38">
        <v>0</v>
      </c>
      <c r="G64" s="38">
        <v>0</v>
      </c>
      <c r="H64" s="38">
        <v>0</v>
      </c>
      <c r="I64" s="38">
        <v>0</v>
      </c>
      <c r="J64" s="38">
        <v>0</v>
      </c>
      <c r="K64" s="38">
        <v>0</v>
      </c>
      <c r="L64" s="38">
        <v>0</v>
      </c>
      <c r="M64" s="38">
        <v>0</v>
      </c>
      <c r="N64" s="38">
        <v>0</v>
      </c>
      <c r="O64" s="38">
        <v>0</v>
      </c>
      <c r="P64" s="38">
        <v>0</v>
      </c>
      <c r="Q64" s="38">
        <v>0</v>
      </c>
      <c r="R64" s="38">
        <v>0</v>
      </c>
      <c r="S64" s="38">
        <v>0</v>
      </c>
      <c r="T64" s="38">
        <v>0</v>
      </c>
      <c r="U64" s="38">
        <v>0</v>
      </c>
      <c r="V64" s="38">
        <v>0</v>
      </c>
      <c r="W64" s="38">
        <v>0</v>
      </c>
      <c r="X64" s="38">
        <v>0</v>
      </c>
      <c r="Y64" s="38">
        <v>0</v>
      </c>
      <c r="Z64" s="38">
        <v>0</v>
      </c>
    </row>
    <row r="65" spans="1:26" x14ac:dyDescent="0.4">
      <c r="A65" s="1">
        <f t="shared" si="1"/>
        <v>2082</v>
      </c>
      <c r="B65" s="38">
        <v>0</v>
      </c>
      <c r="C65" s="38">
        <v>0</v>
      </c>
      <c r="D65" s="38">
        <v>0</v>
      </c>
      <c r="E65" s="38">
        <v>0</v>
      </c>
      <c r="F65" s="38">
        <v>0</v>
      </c>
      <c r="G65" s="38">
        <v>0</v>
      </c>
      <c r="H65" s="38">
        <v>0</v>
      </c>
      <c r="I65" s="38">
        <v>0</v>
      </c>
      <c r="J65" s="38">
        <v>0</v>
      </c>
      <c r="K65" s="38">
        <v>0</v>
      </c>
      <c r="L65" s="38">
        <v>0</v>
      </c>
      <c r="M65" s="38">
        <v>0</v>
      </c>
      <c r="N65" s="38">
        <v>0</v>
      </c>
      <c r="O65" s="38">
        <v>0</v>
      </c>
      <c r="P65" s="38">
        <v>0</v>
      </c>
      <c r="Q65" s="38">
        <v>0</v>
      </c>
      <c r="R65" s="38">
        <v>0</v>
      </c>
      <c r="S65" s="38">
        <v>0</v>
      </c>
      <c r="T65" s="38">
        <v>0</v>
      </c>
      <c r="U65" s="38">
        <v>0</v>
      </c>
      <c r="V65" s="38">
        <v>0</v>
      </c>
      <c r="W65" s="38">
        <v>0</v>
      </c>
      <c r="X65" s="38">
        <v>0</v>
      </c>
      <c r="Y65" s="38">
        <v>0</v>
      </c>
      <c r="Z65" s="38">
        <v>0</v>
      </c>
    </row>
    <row r="66" spans="1:26" x14ac:dyDescent="0.4">
      <c r="A66" s="1">
        <f t="shared" si="1"/>
        <v>2083</v>
      </c>
      <c r="B66" s="38">
        <v>0</v>
      </c>
      <c r="C66" s="38">
        <v>0</v>
      </c>
      <c r="D66" s="38">
        <v>0</v>
      </c>
      <c r="E66" s="38">
        <v>0</v>
      </c>
      <c r="F66" s="38">
        <v>0</v>
      </c>
      <c r="G66" s="38">
        <v>0</v>
      </c>
      <c r="H66" s="38">
        <v>0</v>
      </c>
      <c r="I66" s="38">
        <v>0</v>
      </c>
      <c r="J66" s="38">
        <v>0</v>
      </c>
      <c r="K66" s="38">
        <v>0</v>
      </c>
      <c r="L66" s="38">
        <v>0</v>
      </c>
      <c r="M66" s="38">
        <v>0</v>
      </c>
      <c r="N66" s="38">
        <v>0</v>
      </c>
      <c r="O66" s="38">
        <v>0</v>
      </c>
      <c r="P66" s="38">
        <v>0</v>
      </c>
      <c r="Q66" s="38">
        <v>0</v>
      </c>
      <c r="R66" s="38">
        <v>0</v>
      </c>
      <c r="S66" s="38">
        <v>0</v>
      </c>
      <c r="T66" s="38">
        <v>0</v>
      </c>
      <c r="U66" s="38">
        <v>0</v>
      </c>
      <c r="V66" s="38">
        <v>0</v>
      </c>
      <c r="W66" s="38">
        <v>0</v>
      </c>
      <c r="X66" s="38">
        <v>0</v>
      </c>
      <c r="Y66" s="38">
        <v>0</v>
      </c>
      <c r="Z66" s="38">
        <v>0</v>
      </c>
    </row>
    <row r="67" spans="1:26" x14ac:dyDescent="0.4">
      <c r="A67" s="1">
        <f t="shared" si="1"/>
        <v>2084</v>
      </c>
      <c r="B67" s="38">
        <v>0</v>
      </c>
      <c r="C67" s="38">
        <v>0</v>
      </c>
      <c r="D67" s="38">
        <v>0</v>
      </c>
      <c r="E67" s="38">
        <v>0</v>
      </c>
      <c r="F67" s="38">
        <v>0</v>
      </c>
      <c r="G67" s="38">
        <v>0</v>
      </c>
      <c r="H67" s="38">
        <v>0</v>
      </c>
      <c r="I67" s="38">
        <v>0</v>
      </c>
      <c r="J67" s="38">
        <v>0</v>
      </c>
      <c r="K67" s="38">
        <v>0</v>
      </c>
      <c r="L67" s="38">
        <v>0</v>
      </c>
      <c r="M67" s="38">
        <v>0</v>
      </c>
      <c r="N67" s="38">
        <v>0</v>
      </c>
      <c r="O67" s="38">
        <v>0</v>
      </c>
      <c r="P67" s="38">
        <v>0</v>
      </c>
      <c r="Q67" s="38">
        <v>0</v>
      </c>
      <c r="R67" s="38">
        <v>0</v>
      </c>
      <c r="S67" s="38">
        <v>0</v>
      </c>
      <c r="T67" s="38">
        <v>0</v>
      </c>
      <c r="U67" s="38">
        <v>0</v>
      </c>
      <c r="V67" s="38">
        <v>0</v>
      </c>
      <c r="W67" s="38">
        <v>0</v>
      </c>
      <c r="X67" s="38">
        <v>0</v>
      </c>
      <c r="Y67" s="38">
        <v>0</v>
      </c>
      <c r="Z67" s="38">
        <v>0</v>
      </c>
    </row>
    <row r="68" spans="1:26" x14ac:dyDescent="0.4">
      <c r="A68" s="1">
        <f t="shared" si="1"/>
        <v>2085</v>
      </c>
      <c r="B68" s="38">
        <v>0</v>
      </c>
      <c r="C68" s="38">
        <v>0</v>
      </c>
      <c r="D68" s="38">
        <v>0</v>
      </c>
      <c r="E68" s="38">
        <v>0</v>
      </c>
      <c r="F68" s="38">
        <v>0</v>
      </c>
      <c r="G68" s="38">
        <v>0</v>
      </c>
      <c r="H68" s="38">
        <v>0</v>
      </c>
      <c r="I68" s="38">
        <v>0</v>
      </c>
      <c r="J68" s="38">
        <v>0</v>
      </c>
      <c r="K68" s="38">
        <v>0</v>
      </c>
      <c r="L68" s="38">
        <v>0</v>
      </c>
      <c r="M68" s="38">
        <v>0</v>
      </c>
      <c r="N68" s="38">
        <v>0</v>
      </c>
      <c r="O68" s="38">
        <v>0</v>
      </c>
      <c r="P68" s="38">
        <v>0</v>
      </c>
      <c r="Q68" s="38">
        <v>0</v>
      </c>
      <c r="R68" s="38">
        <v>0</v>
      </c>
      <c r="S68" s="38">
        <v>0</v>
      </c>
      <c r="T68" s="38">
        <v>0</v>
      </c>
      <c r="U68" s="38">
        <v>0</v>
      </c>
      <c r="V68" s="38">
        <v>0</v>
      </c>
      <c r="W68" s="38">
        <v>0</v>
      </c>
      <c r="X68" s="38">
        <v>0</v>
      </c>
      <c r="Y68" s="38">
        <v>0</v>
      </c>
      <c r="Z68" s="38">
        <v>0</v>
      </c>
    </row>
    <row r="69" spans="1:26" x14ac:dyDescent="0.4">
      <c r="A69" s="1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</sheetData>
  <mergeCells count="1">
    <mergeCell ref="B6:Z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Read Me First</vt:lpstr>
      <vt:lpstr>Dashboard</vt:lpstr>
      <vt:lpstr>Assumptions</vt:lpstr>
      <vt:lpstr>Data</vt:lpstr>
      <vt:lpstr>Random Numbers</vt:lpstr>
      <vt:lpstr>Calculations</vt:lpstr>
      <vt:lpstr>Scenario Results</vt:lpstr>
      <vt:lpstr>Total Results</vt:lpstr>
      <vt:lpstr>Discount_Rate</vt:lpstr>
      <vt:lpstr>Number_of_Contracts</vt:lpstr>
      <vt:lpstr>Number_of_Scenarios</vt:lpstr>
      <vt:lpstr>Policy_Number</vt:lpstr>
      <vt:lpstr>Scenario_Number</vt:lpstr>
      <vt:lpstr>Valuation_Date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Leach</dc:creator>
  <cp:lastModifiedBy>Igor Nikitin</cp:lastModifiedBy>
  <dcterms:created xsi:type="dcterms:W3CDTF">2024-04-29T00:53:57Z</dcterms:created>
  <dcterms:modified xsi:type="dcterms:W3CDTF">2026-05-29T01:30:48Z</dcterms:modified>
</cp:coreProperties>
</file>